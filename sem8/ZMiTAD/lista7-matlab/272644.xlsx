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zawodev\PWR\sem8\ZMiTAD\lista7-matlab\"/>
    </mc:Choice>
  </mc:AlternateContent>
  <xr:revisionPtr revIDLastSave="0" documentId="8_{4BBE8538-15B1-4962-805E-34C6C8DC2B1C}" xr6:coauthVersionLast="47" xr6:coauthVersionMax="47" xr10:uidLastSave="{00000000-0000-0000-0000-000000000000}"/>
  <bookViews>
    <workbookView xWindow="14295" yWindow="0" windowWidth="14610" windowHeight="15585" xr2:uid="{1DF06C26-7357-4196-A018-8BB779B7E77C}"/>
  </bookViews>
  <sheets>
    <sheet name="Dane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2" i="1"/>
</calcChain>
</file>

<file path=xl/sharedStrings.xml><?xml version="1.0" encoding="utf-8"?>
<sst xmlns="http://schemas.openxmlformats.org/spreadsheetml/2006/main" count="11086" uniqueCount="3025">
  <si>
    <t>status pozyczki</t>
  </si>
  <si>
    <t>kwota wnioskowana</t>
  </si>
  <si>
    <t>kwota otrzymana</t>
  </si>
  <si>
    <t>PESEL klienta</t>
  </si>
  <si>
    <t>rodzaj źródła dochodu</t>
  </si>
  <si>
    <t>miesieczny dochod netto</t>
  </si>
  <si>
    <t>ktore rolowanie</t>
  </si>
  <si>
    <t>data decyzji</t>
  </si>
  <si>
    <t>data początkowa dochodu</t>
  </si>
  <si>
    <t>data koncowa dochodu</t>
  </si>
  <si>
    <t>planowany termin splaty</t>
  </si>
  <si>
    <t>rzeczywisty termin spłaty</t>
  </si>
  <si>
    <t>splacona</t>
  </si>
  <si>
    <t>800414xxx8x</t>
  </si>
  <si>
    <t>2011-10-12 10:42:43</t>
  </si>
  <si>
    <t>2010-08-01</t>
  </si>
  <si>
    <t>0000-00-00</t>
  </si>
  <si>
    <t>2011-11-12</t>
  </si>
  <si>
    <t>2011-12-30 00:00:00</t>
  </si>
  <si>
    <t>splacona_cz</t>
  </si>
  <si>
    <t>421203xxx6x</t>
  </si>
  <si>
    <t>2011-10-12 11:07:07</t>
  </si>
  <si>
    <t>2002-03-01</t>
  </si>
  <si>
    <t>2011-11-10 00:00:00</t>
  </si>
  <si>
    <t>odmowa</t>
  </si>
  <si>
    <t>620613xxx5x</t>
  </si>
  <si>
    <t>2011-10-12 12:32:50</t>
  </si>
  <si>
    <t>2011-07-01</t>
  </si>
  <si>
    <t>0000-00-00 00:00:00</t>
  </si>
  <si>
    <t>501121xxx8x</t>
  </si>
  <si>
    <t>2011-10-12 12:26:08</t>
  </si>
  <si>
    <t>2005-04-01</t>
  </si>
  <si>
    <t>550821xxx4x</t>
  </si>
  <si>
    <t>2011-10-12 12:35:34</t>
  </si>
  <si>
    <t>2008-09-01</t>
  </si>
  <si>
    <t>2011-11-14 00:00:00</t>
  </si>
  <si>
    <t>460122xxx4x</t>
  </si>
  <si>
    <t>2011-10-12 12:39:10</t>
  </si>
  <si>
    <t>1995-01-15</t>
  </si>
  <si>
    <t>2011-11-09 00:00:00</t>
  </si>
  <si>
    <t>311221xxx0x</t>
  </si>
  <si>
    <t>2011-10-12 12:39:20</t>
  </si>
  <si>
    <t>1991-05-04</t>
  </si>
  <si>
    <t>2011-11-08 00:00:00</t>
  </si>
  <si>
    <t>571219xxx8x</t>
  </si>
  <si>
    <t>2011-10-12 12:59:09</t>
  </si>
  <si>
    <t>2011-08-01</t>
  </si>
  <si>
    <t>2012-03-28</t>
  </si>
  <si>
    <t>490520xxx6x</t>
  </si>
  <si>
    <t>2011-10-12 13:07:08</t>
  </si>
  <si>
    <t>2003-03-01</t>
  </si>
  <si>
    <t>2011-11-15 00:00:00</t>
  </si>
  <si>
    <t>650722xxx0x</t>
  </si>
  <si>
    <t>2011-10-12 13:16:39</t>
  </si>
  <si>
    <t>2007-02-16</t>
  </si>
  <si>
    <t>2013-02-15</t>
  </si>
  <si>
    <t>windykacja</t>
  </si>
  <si>
    <t>690604xxx1x</t>
  </si>
  <si>
    <t>2011-10-12 14:09:04</t>
  </si>
  <si>
    <t>1988-08-02</t>
  </si>
  <si>
    <t>590911xxx0x</t>
  </si>
  <si>
    <t>2011-10-12 14:22:12</t>
  </si>
  <si>
    <t>2008-12-31</t>
  </si>
  <si>
    <t>2011-12-31</t>
  </si>
  <si>
    <t>500110xxx4x</t>
  </si>
  <si>
    <t>2011-10-12 16:03:19</t>
  </si>
  <si>
    <t>2005-03-01</t>
  </si>
  <si>
    <t>450517xxx2x</t>
  </si>
  <si>
    <t>2011-10-12 17:25:52</t>
  </si>
  <si>
    <t>2000-05-08</t>
  </si>
  <si>
    <t>2011-11-16 00:00:00</t>
  </si>
  <si>
    <t>730329xxx4x</t>
  </si>
  <si>
    <t>2011-10-13 09:34:04</t>
  </si>
  <si>
    <t>1994-06-27</t>
  </si>
  <si>
    <t>340201xxx0x</t>
  </si>
  <si>
    <t>2011-10-13 10:11:47</t>
  </si>
  <si>
    <t>1995-09-01</t>
  </si>
  <si>
    <t>2011-11-03 00:00:00</t>
  </si>
  <si>
    <t>390825xxx4x</t>
  </si>
  <si>
    <t>2011-10-13 10:18:18</t>
  </si>
  <si>
    <t>1965-01-18</t>
  </si>
  <si>
    <t>460416xxx1x</t>
  </si>
  <si>
    <t>2011-10-13 11:19:02</t>
  </si>
  <si>
    <t>2007-07-18</t>
  </si>
  <si>
    <t>620213xxx8x</t>
  </si>
  <si>
    <t>2011-10-13 11:33:36</t>
  </si>
  <si>
    <t>1982-04-01</t>
  </si>
  <si>
    <t>591114xxx8x</t>
  </si>
  <si>
    <t>2011-10-13 13:10:48</t>
  </si>
  <si>
    <t>2011-07-27</t>
  </si>
  <si>
    <t>2012-01-31</t>
  </si>
  <si>
    <t>571002xxx5x</t>
  </si>
  <si>
    <t>2011-10-13 13:27:59</t>
  </si>
  <si>
    <t>2008-07-01</t>
  </si>
  <si>
    <t>531011xxx4x</t>
  </si>
  <si>
    <t>2011-10-13 14:15:23</t>
  </si>
  <si>
    <t>2009-07-13</t>
  </si>
  <si>
    <t>540112xxx8x</t>
  </si>
  <si>
    <t>2011-10-13 14:32:11</t>
  </si>
  <si>
    <t>2009-09-17</t>
  </si>
  <si>
    <t>2011-11-07 00:00:00</t>
  </si>
  <si>
    <t>580112xxx3x</t>
  </si>
  <si>
    <t>2011-10-13 15:12:34</t>
  </si>
  <si>
    <t>2010-12-02</t>
  </si>
  <si>
    <t>910104xxx9x</t>
  </si>
  <si>
    <t>2011-10-13 15:41:57</t>
  </si>
  <si>
    <t>2010-09-01</t>
  </si>
  <si>
    <t>2012-02-23</t>
  </si>
  <si>
    <t>410829xxx4x</t>
  </si>
  <si>
    <t>2011-10-13 16:03:28</t>
  </si>
  <si>
    <t>1990-05-01</t>
  </si>
  <si>
    <t>540609xxx2x</t>
  </si>
  <si>
    <t>2011-10-14 08:34:26</t>
  </si>
  <si>
    <t>2000-03-10</t>
  </si>
  <si>
    <t>2011-11-14</t>
  </si>
  <si>
    <t>510415xxx3x</t>
  </si>
  <si>
    <t>2011-10-14 09:10:50</t>
  </si>
  <si>
    <t>1994-02-01</t>
  </si>
  <si>
    <t>2011-11-17 00:00:00</t>
  </si>
  <si>
    <t>790617xxx2x</t>
  </si>
  <si>
    <t>2011-10-14 09:14:42</t>
  </si>
  <si>
    <t>2010-03-01</t>
  </si>
  <si>
    <t>480207xxx8x</t>
  </si>
  <si>
    <t>2011-10-14 09:37:52</t>
  </si>
  <si>
    <t>1996-07-13</t>
  </si>
  <si>
    <t>2011-11-23 00:00:00</t>
  </si>
  <si>
    <t>640412xxx6x</t>
  </si>
  <si>
    <t>2011-10-14 10:52:37</t>
  </si>
  <si>
    <t>2008-01-04</t>
  </si>
  <si>
    <t>2013-12-31</t>
  </si>
  <si>
    <t>2011-11-18 00:00:00</t>
  </si>
  <si>
    <t>470603xxx0x</t>
  </si>
  <si>
    <t>2011-10-14 10:56:57</t>
  </si>
  <si>
    <t>2003-09-01</t>
  </si>
  <si>
    <t>360422xxx8x</t>
  </si>
  <si>
    <t>2011-10-14 11:29:24</t>
  </si>
  <si>
    <t>1991-04-01</t>
  </si>
  <si>
    <t>770905xxx8x</t>
  </si>
  <si>
    <t>2011-10-14 12:13:17</t>
  </si>
  <si>
    <t>1994-11-01</t>
  </si>
  <si>
    <t>900521xxx7x</t>
  </si>
  <si>
    <t>2011-10-14 12:21:37</t>
  </si>
  <si>
    <t>2009-11-27</t>
  </si>
  <si>
    <t>621123xxx9x</t>
  </si>
  <si>
    <t>2011-10-14 12:27:07</t>
  </si>
  <si>
    <t>2009-04-01</t>
  </si>
  <si>
    <t>460212xxx0x</t>
  </si>
  <si>
    <t>2011-10-14 12:35:43</t>
  </si>
  <si>
    <t>2002-07-06</t>
  </si>
  <si>
    <t>801117xxx1x</t>
  </si>
  <si>
    <t>2011-10-14 13:37:53</t>
  </si>
  <si>
    <t>2010-08-04</t>
  </si>
  <si>
    <t>511118xxx6x</t>
  </si>
  <si>
    <t>2011-10-14 13:48:16</t>
  </si>
  <si>
    <t>2009-03-01</t>
  </si>
  <si>
    <t>680528xxx3x</t>
  </si>
  <si>
    <t>2011-10-14 13:49:23</t>
  </si>
  <si>
    <t>1995-01-01</t>
  </si>
  <si>
    <t>2011-11-25 00:00:00</t>
  </si>
  <si>
    <t>671017xxx1x</t>
  </si>
  <si>
    <t>2011-10-14 14:31:19</t>
  </si>
  <si>
    <t>2011-06-01</t>
  </si>
  <si>
    <t>2012-05-31</t>
  </si>
  <si>
    <t>2011-10-21 00:00:00</t>
  </si>
  <si>
    <t>540314xxx2x</t>
  </si>
  <si>
    <t>2011-10-14 14:56:51</t>
  </si>
  <si>
    <t>1979-09-01</t>
  </si>
  <si>
    <t>620526xxx8x</t>
  </si>
  <si>
    <t>2011-10-14 17:20:43</t>
  </si>
  <si>
    <t>1985-03-27</t>
  </si>
  <si>
    <t>480210xxx6x</t>
  </si>
  <si>
    <t>2011-10-14 17:26:48</t>
  </si>
  <si>
    <t>2005-02-10</t>
  </si>
  <si>
    <t>510927xxx9x</t>
  </si>
  <si>
    <t>2011-10-15 09:16:06</t>
  </si>
  <si>
    <t>2006-07-01</t>
  </si>
  <si>
    <t>550412xxx3x</t>
  </si>
  <si>
    <t>2011-10-15 10:16:08</t>
  </si>
  <si>
    <t>2011-02-25</t>
  </si>
  <si>
    <t>461109xxx4x</t>
  </si>
  <si>
    <t>2011-10-15 10:53:34</t>
  </si>
  <si>
    <t>2000-04-12</t>
  </si>
  <si>
    <t>481207xxx6x</t>
  </si>
  <si>
    <t>2011-10-15 11:08:48</t>
  </si>
  <si>
    <t>2000-04-05</t>
  </si>
  <si>
    <t>2011-11-05 00:00:00</t>
  </si>
  <si>
    <t>870213xxx3x</t>
  </si>
  <si>
    <t>2011-10-15 13:17:47</t>
  </si>
  <si>
    <t>2010-10-14</t>
  </si>
  <si>
    <t>2012-11-13</t>
  </si>
  <si>
    <t>370527xxx6x</t>
  </si>
  <si>
    <t>2011-10-15 13:35:23</t>
  </si>
  <si>
    <t>1991-03-01</t>
  </si>
  <si>
    <t>600108xxx6x</t>
  </si>
  <si>
    <t>2011-10-17 09:51:29</t>
  </si>
  <si>
    <t>1986-04-23</t>
  </si>
  <si>
    <t>2011-11-16</t>
  </si>
  <si>
    <t>2011-11-21 00:00:00</t>
  </si>
  <si>
    <t>701026xxx0x</t>
  </si>
  <si>
    <t>2011-10-17 10:08:17</t>
  </si>
  <si>
    <t>2004-10-01</t>
  </si>
  <si>
    <t>561102xxx2x</t>
  </si>
  <si>
    <t>2011-10-17 10:26:05</t>
  </si>
  <si>
    <t>1996-07-01</t>
  </si>
  <si>
    <t>660416xxx9x</t>
  </si>
  <si>
    <t>2011-10-17 11:29:53</t>
  </si>
  <si>
    <t>2011-03-28</t>
  </si>
  <si>
    <t>2011-11-30</t>
  </si>
  <si>
    <t>560330xxx7x</t>
  </si>
  <si>
    <t>2011-10-17 11:34:22</t>
  </si>
  <si>
    <t>1976-08-03</t>
  </si>
  <si>
    <t>2011-11-24 00:00:00</t>
  </si>
  <si>
    <t>380302xxx6x</t>
  </si>
  <si>
    <t>2011-10-17 11:44:47</t>
  </si>
  <si>
    <t>2007-03-01</t>
  </si>
  <si>
    <t>2011-12-06 00:00:00</t>
  </si>
  <si>
    <t>590719xxx2x</t>
  </si>
  <si>
    <t>2011-10-17 11:49:28</t>
  </si>
  <si>
    <t>2008-05-02</t>
  </si>
  <si>
    <t>531201xxx4x</t>
  </si>
  <si>
    <t>2011-10-17 11:53:21</t>
  </si>
  <si>
    <t>2005-12-10</t>
  </si>
  <si>
    <t>500612xxx0x</t>
  </si>
  <si>
    <t>2011-10-17 12:03:59</t>
  </si>
  <si>
    <t>2005-07-01</t>
  </si>
  <si>
    <t>630903xxx2x</t>
  </si>
  <si>
    <t>2011-10-17 12:41:16</t>
  </si>
  <si>
    <t>1980-10-22</t>
  </si>
  <si>
    <t>540220xxx3x</t>
  </si>
  <si>
    <t>2011-10-17 13:10:36</t>
  </si>
  <si>
    <t>2005-11-01</t>
  </si>
  <si>
    <t>2011-11-19 00:00:00</t>
  </si>
  <si>
    <t>430408xxx6x</t>
  </si>
  <si>
    <t>2011-10-17 13:14:04</t>
  </si>
  <si>
    <t>1998-05-01</t>
  </si>
  <si>
    <t>650403xxx0x</t>
  </si>
  <si>
    <t>2011-10-17 13:37:47</t>
  </si>
  <si>
    <t>690909xxx4x</t>
  </si>
  <si>
    <t>2011-10-17 14:06:10</t>
  </si>
  <si>
    <t>2002-01-03</t>
  </si>
  <si>
    <t>480716xxx2x</t>
  </si>
  <si>
    <t>2011-10-17 14:22:10</t>
  </si>
  <si>
    <t>2004-03-01</t>
  </si>
  <si>
    <t>540309xxx7x</t>
  </si>
  <si>
    <t>2011-10-17 15:12:19</t>
  </si>
  <si>
    <t>2011-05-27</t>
  </si>
  <si>
    <t>2012-03-31</t>
  </si>
  <si>
    <t>410308xxx8x</t>
  </si>
  <si>
    <t>2011-10-17 15:45:38</t>
  </si>
  <si>
    <t>861025xxx0x</t>
  </si>
  <si>
    <t>2011-10-17 15:50:30</t>
  </si>
  <si>
    <t>1998-01-13</t>
  </si>
  <si>
    <t>2013-01-01</t>
  </si>
  <si>
    <t>570627xxx0x</t>
  </si>
  <si>
    <t>2011-10-17 15:57:57</t>
  </si>
  <si>
    <t>2007-03-17</t>
  </si>
  <si>
    <t>2011-10-21</t>
  </si>
  <si>
    <t>820404xxx9x</t>
  </si>
  <si>
    <t>2011-10-17 16:39:33</t>
  </si>
  <si>
    <t>2011-08-28</t>
  </si>
  <si>
    <t>2011-10-25</t>
  </si>
  <si>
    <t>580825xxx8x</t>
  </si>
  <si>
    <t>2011-10-17 16:37:11</t>
  </si>
  <si>
    <t>1994-09-01</t>
  </si>
  <si>
    <t>810105xxx3x</t>
  </si>
  <si>
    <t>2011-10-17 17:21:09</t>
  </si>
  <si>
    <t>2006-06-01</t>
  </si>
  <si>
    <t>391016xxx9x</t>
  </si>
  <si>
    <t>2011-10-17 17:47:04</t>
  </si>
  <si>
    <t>520310xxx0x</t>
  </si>
  <si>
    <t>2011-10-18 09:29:09</t>
  </si>
  <si>
    <t>1977-01-01</t>
  </si>
  <si>
    <t>640909xxx6x</t>
  </si>
  <si>
    <t>2011-10-18 09:49:46</t>
  </si>
  <si>
    <t>2004-05-05</t>
  </si>
  <si>
    <t>2011-11-17</t>
  </si>
  <si>
    <t>401107xxx9x</t>
  </si>
  <si>
    <t>2011-10-18 10:38:27</t>
  </si>
  <si>
    <t>1986-03-01</t>
  </si>
  <si>
    <t>500809xxx2x</t>
  </si>
  <si>
    <t>2011-10-18 11:42:52</t>
  </si>
  <si>
    <t>2005-09-01</t>
  </si>
  <si>
    <t>620225xxx5x</t>
  </si>
  <si>
    <t>2011-10-18 13:42:39</t>
  </si>
  <si>
    <t>2010-08-02</t>
  </si>
  <si>
    <t>2011-11-26 00:00:00</t>
  </si>
  <si>
    <t>581216xxx7x</t>
  </si>
  <si>
    <t>2011-10-18 14:07:12</t>
  </si>
  <si>
    <t>1974-02-09</t>
  </si>
  <si>
    <t>810329xxx4x</t>
  </si>
  <si>
    <t>2011-10-18 14:22:12</t>
  </si>
  <si>
    <t>2006-12-01</t>
  </si>
  <si>
    <t>2012-08-13 00:00:00</t>
  </si>
  <si>
    <t>540319xxx0x</t>
  </si>
  <si>
    <t>2011-10-18 17:12:20</t>
  </si>
  <si>
    <t>2009-08-14</t>
  </si>
  <si>
    <t>691025xxx3x</t>
  </si>
  <si>
    <t>2011-10-18 17:56:56</t>
  </si>
  <si>
    <t>450818xxx3x</t>
  </si>
  <si>
    <t>2011-10-19 09:14:00</t>
  </si>
  <si>
    <t>2010-02-01</t>
  </si>
  <si>
    <t>451127xxx2x</t>
  </si>
  <si>
    <t>2011-10-19 10:32:40</t>
  </si>
  <si>
    <t>2005-12-22</t>
  </si>
  <si>
    <t>2011-11-18</t>
  </si>
  <si>
    <t>850507xxx8x</t>
  </si>
  <si>
    <t>2011-10-19 10:57:59</t>
  </si>
  <si>
    <t>2010-07-01</t>
  </si>
  <si>
    <t>2011-11-22 00:00:00</t>
  </si>
  <si>
    <t>windykacja_sp</t>
  </si>
  <si>
    <t>740423xxx5x</t>
  </si>
  <si>
    <t>2011-10-19 11:32:14</t>
  </si>
  <si>
    <t>2011-02-24</t>
  </si>
  <si>
    <t>2011-12-08 00:00:00</t>
  </si>
  <si>
    <t>580318xxx3x</t>
  </si>
  <si>
    <t>2011-10-19 12:26:09</t>
  </si>
  <si>
    <t>1991-09-16</t>
  </si>
  <si>
    <t>760228xxx0x</t>
  </si>
  <si>
    <t>2011-10-19 12:38:35</t>
  </si>
  <si>
    <t>2001-09-01</t>
  </si>
  <si>
    <t>400728xxx0x</t>
  </si>
  <si>
    <t>2011-10-19 12:58:41</t>
  </si>
  <si>
    <t>1995-05-01</t>
  </si>
  <si>
    <t>530206xxx0x</t>
  </si>
  <si>
    <t>2011-10-19 13:00:51</t>
  </si>
  <si>
    <t>2008-08-30</t>
  </si>
  <si>
    <t>500404xxx0x</t>
  </si>
  <si>
    <t>2011-10-19 13:15:55</t>
  </si>
  <si>
    <t>2006-01-01</t>
  </si>
  <si>
    <t>500116xxx8x</t>
  </si>
  <si>
    <t>2011-10-19 13:25:38</t>
  </si>
  <si>
    <t>390513xxx1x</t>
  </si>
  <si>
    <t>2011-10-19 14:04:40</t>
  </si>
  <si>
    <t>2004-09-01</t>
  </si>
  <si>
    <t>530419xxx7x</t>
  </si>
  <si>
    <t>2011-10-19 14:08:31</t>
  </si>
  <si>
    <t>2004-05-01</t>
  </si>
  <si>
    <t>700502xxx0x</t>
  </si>
  <si>
    <t>2011-10-19 14:52:25</t>
  </si>
  <si>
    <t>2006-08-24</t>
  </si>
  <si>
    <t>510923xxx8x</t>
  </si>
  <si>
    <t>2011-10-19 14:59:32</t>
  </si>
  <si>
    <t>2012-08-07 00:00:00</t>
  </si>
  <si>
    <t>451021xxx4x</t>
  </si>
  <si>
    <t>2011-10-19 15:31:36</t>
  </si>
  <si>
    <t>2006-03-08</t>
  </si>
  <si>
    <t>820317xxx5x</t>
  </si>
  <si>
    <t>2011-10-19 15:40:10</t>
  </si>
  <si>
    <t>2011-05-25</t>
  </si>
  <si>
    <t>2011-10-30</t>
  </si>
  <si>
    <t>900820xxx1x</t>
  </si>
  <si>
    <t>2011-10-19 15:48:30</t>
  </si>
  <si>
    <t>2011-04-08</t>
  </si>
  <si>
    <t>2011-12-15</t>
  </si>
  <si>
    <t>451221xxx0x</t>
  </si>
  <si>
    <t>2011-10-19 16:02:22</t>
  </si>
  <si>
    <t>2000-01-01</t>
  </si>
  <si>
    <t>2012-02-01 00:00:00</t>
  </si>
  <si>
    <t>631011xxx4x</t>
  </si>
  <si>
    <t>2011-10-19 17:50:42</t>
  </si>
  <si>
    <t>2011-09-01</t>
  </si>
  <si>
    <t>611209xxx9x</t>
  </si>
  <si>
    <t>2011-10-20 10:25:49</t>
  </si>
  <si>
    <t>2008-03-10</t>
  </si>
  <si>
    <t>2013-05-21</t>
  </si>
  <si>
    <t>2011-11-19</t>
  </si>
  <si>
    <t>330329xxx0x</t>
  </si>
  <si>
    <t>2011-10-20 10:42:11</t>
  </si>
  <si>
    <t>1990-07-01</t>
  </si>
  <si>
    <t>570319xxx0x</t>
  </si>
  <si>
    <t>2011-10-20 10:45:41</t>
  </si>
  <si>
    <t>2001-10-01</t>
  </si>
  <si>
    <t>750316xxx5x</t>
  </si>
  <si>
    <t>2011-10-20 11:32:07</t>
  </si>
  <si>
    <t>1996-09-14</t>
  </si>
  <si>
    <t>870203xxx3x</t>
  </si>
  <si>
    <t>2011-10-20 11:55:38</t>
  </si>
  <si>
    <t>2008-10-15</t>
  </si>
  <si>
    <t>490718xxx2x</t>
  </si>
  <si>
    <t>2011-10-20 12:35:52</t>
  </si>
  <si>
    <t>2011-12-02 00:00:00</t>
  </si>
  <si>
    <t>540316xxx2x</t>
  </si>
  <si>
    <t>2011-10-20 13:38:43</t>
  </si>
  <si>
    <t>2003-01-01</t>
  </si>
  <si>
    <t>520815xxx3x</t>
  </si>
  <si>
    <t>2011-10-20 14:19:16</t>
  </si>
  <si>
    <t>2002-04-04</t>
  </si>
  <si>
    <t>850424xxx7x</t>
  </si>
  <si>
    <t>2011-10-20 15:25:20</t>
  </si>
  <si>
    <t>2011-01-03</t>
  </si>
  <si>
    <t>650608xxx7x</t>
  </si>
  <si>
    <t>2011-10-20 15:31:50</t>
  </si>
  <si>
    <t>1982-09-01</t>
  </si>
  <si>
    <t>720829xxx8x</t>
  </si>
  <si>
    <t>2011-10-20 16:03:41</t>
  </si>
  <si>
    <t>2010-10-01</t>
  </si>
  <si>
    <t>2011-12-30</t>
  </si>
  <si>
    <t>760618xxx6x</t>
  </si>
  <si>
    <t>2011-10-20 16:08:53</t>
  </si>
  <si>
    <t>1996-09-01</t>
  </si>
  <si>
    <t>601118xxx7x</t>
  </si>
  <si>
    <t>2011-10-20 16:27:29</t>
  </si>
  <si>
    <t>1990-03-01</t>
  </si>
  <si>
    <t>650428xxx9x</t>
  </si>
  <si>
    <t>2011-10-21 09:10:19</t>
  </si>
  <si>
    <t>2003-07-01</t>
  </si>
  <si>
    <t>2011-11-21</t>
  </si>
  <si>
    <t>391108xxx2x</t>
  </si>
  <si>
    <t>2011-10-21 09:19:07</t>
  </si>
  <si>
    <t>500820xxx6x</t>
  </si>
  <si>
    <t>2011-10-21 09:53:58</t>
  </si>
  <si>
    <t>2000-03-01</t>
  </si>
  <si>
    <t>2011-10-21 10:18:04</t>
  </si>
  <si>
    <t>630522xxx6x</t>
  </si>
  <si>
    <t>2011-10-21 11:45:03</t>
  </si>
  <si>
    <t>1995-02-14</t>
  </si>
  <si>
    <t>710209xxx0x</t>
  </si>
  <si>
    <t>2011-10-21 12:06:53</t>
  </si>
  <si>
    <t>1991-12-02</t>
  </si>
  <si>
    <t>2012-07-12 00:00:00</t>
  </si>
  <si>
    <t>490716xxx6x</t>
  </si>
  <si>
    <t>2011-10-21 12:05:11</t>
  </si>
  <si>
    <t>1993-04-01</t>
  </si>
  <si>
    <t>780415xxx9x</t>
  </si>
  <si>
    <t>2011-10-21 13:13:42</t>
  </si>
  <si>
    <t>2007-07-02</t>
  </si>
  <si>
    <t>760411xxx2x</t>
  </si>
  <si>
    <t>2011-10-21 13:15:29</t>
  </si>
  <si>
    <t>2006-08-31</t>
  </si>
  <si>
    <t>670518xxx1x</t>
  </si>
  <si>
    <t>2011-10-21 13:48:07</t>
  </si>
  <si>
    <t>2011-04-01</t>
  </si>
  <si>
    <t>2011-10-31</t>
  </si>
  <si>
    <t>500805xxx4x</t>
  </si>
  <si>
    <t>2011-10-21 14:55:25</t>
  </si>
  <si>
    <t>2010-05-01</t>
  </si>
  <si>
    <t>731125xxx6x</t>
  </si>
  <si>
    <t>2011-10-21 14:56:18</t>
  </si>
  <si>
    <t>2010-02-11</t>
  </si>
  <si>
    <t>490622xxx0x</t>
  </si>
  <si>
    <t>2011-10-21 14:56:40</t>
  </si>
  <si>
    <t>2008-10-01</t>
  </si>
  <si>
    <t>2011-11-30 00:00:00</t>
  </si>
  <si>
    <t>441201xxx0x</t>
  </si>
  <si>
    <t>2011-10-21 14:58:54</t>
  </si>
  <si>
    <t>1995-04-04</t>
  </si>
  <si>
    <t>660130xxx5x</t>
  </si>
  <si>
    <t>2011-10-21 15:20:34</t>
  </si>
  <si>
    <t>2007-08-01</t>
  </si>
  <si>
    <t>770705xxx9x</t>
  </si>
  <si>
    <t>2011-10-21 15:47:48</t>
  </si>
  <si>
    <t>480402xxx4x</t>
  </si>
  <si>
    <t>2011-10-21 16:26:35</t>
  </si>
  <si>
    <t>2009-10-21</t>
  </si>
  <si>
    <t>820622xxx2x</t>
  </si>
  <si>
    <t>2011-10-22 13:22:48</t>
  </si>
  <si>
    <t>2009-12-29</t>
  </si>
  <si>
    <t>2011-12-28</t>
  </si>
  <si>
    <t>500326xxx2x</t>
  </si>
  <si>
    <t>2011-10-22 13:31:50</t>
  </si>
  <si>
    <t>2009-09-01</t>
  </si>
  <si>
    <t>571012xxx6x</t>
  </si>
  <si>
    <t>2011-10-24 09:11:38</t>
  </si>
  <si>
    <t>1977-08-01</t>
  </si>
  <si>
    <t>2011-11-23</t>
  </si>
  <si>
    <t>530630xxx1x</t>
  </si>
  <si>
    <t>2011-10-24 10:03:14</t>
  </si>
  <si>
    <t>2010-05-12</t>
  </si>
  <si>
    <t>2012-07-31</t>
  </si>
  <si>
    <t>500728xxx0x</t>
  </si>
  <si>
    <t>2011-10-24 10:06:50</t>
  </si>
  <si>
    <t>1995-03-31</t>
  </si>
  <si>
    <t>450507xxx6x</t>
  </si>
  <si>
    <t>2011-10-24 10:22:30</t>
  </si>
  <si>
    <t>2005-01-01</t>
  </si>
  <si>
    <t>410216xxx2x</t>
  </si>
  <si>
    <t>2011-10-24 10:24:20</t>
  </si>
  <si>
    <t>1992-04-01</t>
  </si>
  <si>
    <t>600209xxx0x</t>
  </si>
  <si>
    <t>2011-10-24 10:47:09</t>
  </si>
  <si>
    <t>1978-11-22</t>
  </si>
  <si>
    <t>510309xxx8x</t>
  </si>
  <si>
    <t>2011-10-24 11:40:57</t>
  </si>
  <si>
    <t>2009-01-11</t>
  </si>
  <si>
    <t>711206xxx6x</t>
  </si>
  <si>
    <t>2011-10-24 12:33:36</t>
  </si>
  <si>
    <t>1998-02-19</t>
  </si>
  <si>
    <t>640531xxx4x</t>
  </si>
  <si>
    <t>2011-10-24 12:39:11</t>
  </si>
  <si>
    <t>1981-09-07</t>
  </si>
  <si>
    <t>550403xxx2x</t>
  </si>
  <si>
    <t>2011-10-24 12:59:10</t>
  </si>
  <si>
    <t>510622xxx2x</t>
  </si>
  <si>
    <t>2011-10-24 12:59:47</t>
  </si>
  <si>
    <t>380527xxx3x</t>
  </si>
  <si>
    <t>2011-10-24 13:17:31</t>
  </si>
  <si>
    <t>1998-03-01</t>
  </si>
  <si>
    <t>370816xxx3x</t>
  </si>
  <si>
    <t>2011-10-24 13:41:54</t>
  </si>
  <si>
    <t>2000-02-04</t>
  </si>
  <si>
    <t>760107xxx1x</t>
  </si>
  <si>
    <t>2011-10-24 14:01:13</t>
  </si>
  <si>
    <t>320207xxx4x</t>
  </si>
  <si>
    <t>2011-10-24 14:21:10</t>
  </si>
  <si>
    <t>550222xxx8x</t>
  </si>
  <si>
    <t>2011-10-24 14:51:03</t>
  </si>
  <si>
    <t>2009-07-01</t>
  </si>
  <si>
    <t>2012-04-30</t>
  </si>
  <si>
    <t>590302xxx2x</t>
  </si>
  <si>
    <t>2011-10-24 14:52:39</t>
  </si>
  <si>
    <t>740805xxx0x</t>
  </si>
  <si>
    <t>2011-10-24 15:25:27</t>
  </si>
  <si>
    <t>790521xxx2x</t>
  </si>
  <si>
    <t>2011-10-24 15:26:11</t>
  </si>
  <si>
    <t>360401xxx4x</t>
  </si>
  <si>
    <t>2011-10-24 15:37:42</t>
  </si>
  <si>
    <t>680620xxx0x</t>
  </si>
  <si>
    <t>2011-10-24 16:17:01</t>
  </si>
  <si>
    <t>811229xxx1x</t>
  </si>
  <si>
    <t>2011-10-24 16:38:59</t>
  </si>
  <si>
    <t>2012-08-31</t>
  </si>
  <si>
    <t>521013xxx2x</t>
  </si>
  <si>
    <t>2011-10-24 17:23:34</t>
  </si>
  <si>
    <t>2005-05-11</t>
  </si>
  <si>
    <t>2012-09-12 00:00:00</t>
  </si>
  <si>
    <t>550930xxx1x</t>
  </si>
  <si>
    <t>2011-10-24 17:32:19</t>
  </si>
  <si>
    <t>1999-04-01</t>
  </si>
  <si>
    <t>840924xxx7x</t>
  </si>
  <si>
    <t>2011-10-25 10:32:04</t>
  </si>
  <si>
    <t>2003-06-01</t>
  </si>
  <si>
    <t>2014-04-30</t>
  </si>
  <si>
    <t>2011-11-24</t>
  </si>
  <si>
    <t>580315xxx6x</t>
  </si>
  <si>
    <t>2011-10-25 10:41:52</t>
  </si>
  <si>
    <t>2010-04-01</t>
  </si>
  <si>
    <t>451202xxx7x</t>
  </si>
  <si>
    <t>2011-10-25 10:48:10</t>
  </si>
  <si>
    <t>2003-05-01</t>
  </si>
  <si>
    <t>741103xxx8x</t>
  </si>
  <si>
    <t>2011-10-25 11:25:55</t>
  </si>
  <si>
    <t>2003-10-14</t>
  </si>
  <si>
    <t>540331xxx9x</t>
  </si>
  <si>
    <t>2011-10-25 11:42:40</t>
  </si>
  <si>
    <t>2011-02-01</t>
  </si>
  <si>
    <t>621031xxx4x</t>
  </si>
  <si>
    <t>2011-10-25 12:19:49</t>
  </si>
  <si>
    <t>2007-05-09</t>
  </si>
  <si>
    <t>750430xxx5x</t>
  </si>
  <si>
    <t>2011-10-25 12:50:26</t>
  </si>
  <si>
    <t>2005-08-23</t>
  </si>
  <si>
    <t>2015-08-22</t>
  </si>
  <si>
    <t>440519xxx1x</t>
  </si>
  <si>
    <t>2011-10-25 13:16:39</t>
  </si>
  <si>
    <t>2004-05-19</t>
  </si>
  <si>
    <t>581015xxx6x</t>
  </si>
  <si>
    <t>2011-10-25 13:18:20</t>
  </si>
  <si>
    <t>2007-06-27</t>
  </si>
  <si>
    <t>2011-11-01</t>
  </si>
  <si>
    <t>471025xxx9x</t>
  </si>
  <si>
    <t>2011-10-25 13:58:47</t>
  </si>
  <si>
    <t>2008-01-01</t>
  </si>
  <si>
    <t>540609xxx6x</t>
  </si>
  <si>
    <t>2011-10-25 14:30:11</t>
  </si>
  <si>
    <t>2000-06-01</t>
  </si>
  <si>
    <t>2011-11-28 00:00:00</t>
  </si>
  <si>
    <t>780128xxx6x</t>
  </si>
  <si>
    <t>2011-10-25 15:16:08</t>
  </si>
  <si>
    <t>891125xxx2x</t>
  </si>
  <si>
    <t>2011-10-25 15:17:41</t>
  </si>
  <si>
    <t>2012-01-13</t>
  </si>
  <si>
    <t>381221xxx3x</t>
  </si>
  <si>
    <t>2011-10-25 15:29:08</t>
  </si>
  <si>
    <t>2003-08-18</t>
  </si>
  <si>
    <t>2012-10-11 00:00:00</t>
  </si>
  <si>
    <t>500828xxx0x</t>
  </si>
  <si>
    <t>2011-10-25 16:47:09</t>
  </si>
  <si>
    <t>2009-06-01</t>
  </si>
  <si>
    <t>540729xxx8x</t>
  </si>
  <si>
    <t>2011-10-25 17:25:47</t>
  </si>
  <si>
    <t>2008-07-21</t>
  </si>
  <si>
    <t>590216xxx3x</t>
  </si>
  <si>
    <t>2011-10-26 09:18:08</t>
  </si>
  <si>
    <t>2011-03-01</t>
  </si>
  <si>
    <t>2011-11-25</t>
  </si>
  <si>
    <t>2011-12-09 00:00:00</t>
  </si>
  <si>
    <t>890609xxx0x</t>
  </si>
  <si>
    <t>2011-10-26 10:09:39</t>
  </si>
  <si>
    <t>850722xxx8x</t>
  </si>
  <si>
    <t>2011-10-26 10:10:30</t>
  </si>
  <si>
    <t>2011-02-17</t>
  </si>
  <si>
    <t>2012-02-17</t>
  </si>
  <si>
    <t>2011-11-29 00:00:00</t>
  </si>
  <si>
    <t>511202xxx0x</t>
  </si>
  <si>
    <t>2011-10-26 10:38:12</t>
  </si>
  <si>
    <t>2007-03-07</t>
  </si>
  <si>
    <t>520312xxx8x</t>
  </si>
  <si>
    <t>2011-10-26 11:28:27</t>
  </si>
  <si>
    <t>370911xxx4x</t>
  </si>
  <si>
    <t>2011-10-26 12:35:49</t>
  </si>
  <si>
    <t>2008-10-10</t>
  </si>
  <si>
    <t>480731xxx2x</t>
  </si>
  <si>
    <t>2011-10-26 12:51:46</t>
  </si>
  <si>
    <t>450205xxx4x</t>
  </si>
  <si>
    <t>2011-10-26 13:43:42</t>
  </si>
  <si>
    <t>2000-10-01</t>
  </si>
  <si>
    <t>530621xxx6x</t>
  </si>
  <si>
    <t>2011-10-26 14:12:13</t>
  </si>
  <si>
    <t>2008-11-15</t>
  </si>
  <si>
    <t>870509xxx9x</t>
  </si>
  <si>
    <t>2011-10-26 14:29:04</t>
  </si>
  <si>
    <t>2008-11-14</t>
  </si>
  <si>
    <t>410318xxx4x</t>
  </si>
  <si>
    <t>2011-10-26 14:50:32</t>
  </si>
  <si>
    <t>2001-02-22</t>
  </si>
  <si>
    <t>760111xxx0x</t>
  </si>
  <si>
    <t>2011-10-26 16:18:35</t>
  </si>
  <si>
    <t>2002-05-06</t>
  </si>
  <si>
    <t>620621xxx0x</t>
  </si>
  <si>
    <t>2011-10-26 16:28:35</t>
  </si>
  <si>
    <t>2001-09-02</t>
  </si>
  <si>
    <t>500228xxx2x</t>
  </si>
  <si>
    <t>2011-10-26 16:31:52</t>
  </si>
  <si>
    <t>2010-10-15</t>
  </si>
  <si>
    <t>811006xxx1x</t>
  </si>
  <si>
    <t>2011-10-27 09:50:17</t>
  </si>
  <si>
    <t>2007-01-10</t>
  </si>
  <si>
    <t>2011-11-26</t>
  </si>
  <si>
    <t>570218xxx0x</t>
  </si>
  <si>
    <t>2011-10-27 11:11:08</t>
  </si>
  <si>
    <t>2008-01-09</t>
  </si>
  <si>
    <t>2013-10-16</t>
  </si>
  <si>
    <t>650424xxx8x</t>
  </si>
  <si>
    <t>2011-10-27 11:46:50</t>
  </si>
  <si>
    <t>2003-08-01</t>
  </si>
  <si>
    <t>800207xxx2x</t>
  </si>
  <si>
    <t>2011-10-27 12:14:02</t>
  </si>
  <si>
    <t>2010-02-08</t>
  </si>
  <si>
    <t>2011-12-07 00:00:00</t>
  </si>
  <si>
    <t>510831xxx1x</t>
  </si>
  <si>
    <t>2011-10-27 12:33:01</t>
  </si>
  <si>
    <t>1996-03-01</t>
  </si>
  <si>
    <t>500718xxx2x</t>
  </si>
  <si>
    <t>2011-10-27 13:28:30</t>
  </si>
  <si>
    <t>2010-11-19</t>
  </si>
  <si>
    <t>541219xxx0x</t>
  </si>
  <si>
    <t>2011-10-27 13:47:23</t>
  </si>
  <si>
    <t>2011-09-05</t>
  </si>
  <si>
    <t>440912xxx8x</t>
  </si>
  <si>
    <t>2011-10-27 13:51:36</t>
  </si>
  <si>
    <t>1999-10-01</t>
  </si>
  <si>
    <t>2011-12-03 00:00:00</t>
  </si>
  <si>
    <t>761005xxx5x</t>
  </si>
  <si>
    <t>2011-10-27 15:19:49</t>
  </si>
  <si>
    <t>530203xxx2x</t>
  </si>
  <si>
    <t>2011-10-28 09:55:15</t>
  </si>
  <si>
    <t>2011-11-28</t>
  </si>
  <si>
    <t>2011-12-12 00:00:00</t>
  </si>
  <si>
    <t>590709xxx3x</t>
  </si>
  <si>
    <t>2011-10-28 10:43:27</t>
  </si>
  <si>
    <t>1994-03-01</t>
  </si>
  <si>
    <t>651128xxx8x</t>
  </si>
  <si>
    <t>2011-10-28 10:43:38</t>
  </si>
  <si>
    <t>2010-01-19</t>
  </si>
  <si>
    <t>330729xxx3x</t>
  </si>
  <si>
    <t>2011-10-28 11:10:01</t>
  </si>
  <si>
    <t>1990-08-16</t>
  </si>
  <si>
    <t>580527xxx0x</t>
  </si>
  <si>
    <t>2011-10-28 12:28:36</t>
  </si>
  <si>
    <t>2006-05-01</t>
  </si>
  <si>
    <t>2011-12-01 00:00:00</t>
  </si>
  <si>
    <t>720709xxx6x</t>
  </si>
  <si>
    <t>2011-10-28 12:57:56</t>
  </si>
  <si>
    <t>1994-10-01</t>
  </si>
  <si>
    <t>500806xxx5x</t>
  </si>
  <si>
    <t>2011-10-28 12:59:13</t>
  </si>
  <si>
    <t>2009-11-01</t>
  </si>
  <si>
    <t>2011-12-05 00:00:00</t>
  </si>
  <si>
    <t>500128xxx9x</t>
  </si>
  <si>
    <t>2011-10-28 16:57:20</t>
  </si>
  <si>
    <t>2006-05-02</t>
  </si>
  <si>
    <t>570109xxx7x</t>
  </si>
  <si>
    <t>2011-10-28 17:11:03</t>
  </si>
  <si>
    <t>2008-08-18</t>
  </si>
  <si>
    <t>320405xxx2x</t>
  </si>
  <si>
    <t>2011-10-28 18:03:40</t>
  </si>
  <si>
    <t>1981-01-01</t>
  </si>
  <si>
    <t>700810xxx6x</t>
  </si>
  <si>
    <t>2011-10-29 09:20:46</t>
  </si>
  <si>
    <t>2006-09-01</t>
  </si>
  <si>
    <t>750401xxx3x</t>
  </si>
  <si>
    <t>2011-10-29 11:10:48</t>
  </si>
  <si>
    <t>610131xxx4x</t>
  </si>
  <si>
    <t>2011-10-29 13:19:52</t>
  </si>
  <si>
    <t>2005-10-01</t>
  </si>
  <si>
    <t>2012-11-30</t>
  </si>
  <si>
    <t>720220xxx5x</t>
  </si>
  <si>
    <t>2011-10-29 13:20:00</t>
  </si>
  <si>
    <t>581006xxx3x</t>
  </si>
  <si>
    <t>2011-10-29 13:25:13</t>
  </si>
  <si>
    <t>1985-04-01</t>
  </si>
  <si>
    <t>610604xxx3x</t>
  </si>
  <si>
    <t>2011-10-31 09:10:23</t>
  </si>
  <si>
    <t>1995-03-01</t>
  </si>
  <si>
    <t>460902xxx5x</t>
  </si>
  <si>
    <t>2011-10-31 09:23:41</t>
  </si>
  <si>
    <t>1998-01-01</t>
  </si>
  <si>
    <t>400808xxx1x</t>
  </si>
  <si>
    <t>2011-10-31 09:42:43</t>
  </si>
  <si>
    <t>2005-05-01</t>
  </si>
  <si>
    <t>550826xxx8x</t>
  </si>
  <si>
    <t>2011-10-31 09:42:11</t>
  </si>
  <si>
    <t>2010-12-17</t>
  </si>
  <si>
    <t>590727xxx4x</t>
  </si>
  <si>
    <t>2011-10-31 09:50:07</t>
  </si>
  <si>
    <t>660401xxx5x</t>
  </si>
  <si>
    <t>2011-10-31 11:02:45</t>
  </si>
  <si>
    <t>2011-01-01</t>
  </si>
  <si>
    <t>650318xxx5x</t>
  </si>
  <si>
    <t>2011-10-31 11:06:02</t>
  </si>
  <si>
    <t>2001-10-17</t>
  </si>
  <si>
    <t>701023xxx1x</t>
  </si>
  <si>
    <t>2011-10-31 11:30:29</t>
  </si>
  <si>
    <t>2009-04-20</t>
  </si>
  <si>
    <t>851222xxx3x</t>
  </si>
  <si>
    <t>2011-10-31 11:40:31</t>
  </si>
  <si>
    <t>2009-01-01</t>
  </si>
  <si>
    <t>801112xxx8x</t>
  </si>
  <si>
    <t>2011-10-31 12:21:10</t>
  </si>
  <si>
    <t>2010-12-01</t>
  </si>
  <si>
    <t>2012-03-09</t>
  </si>
  <si>
    <t>480124xxx2x</t>
  </si>
  <si>
    <t>2011-10-31 14:02:42</t>
  </si>
  <si>
    <t>630608xxx4x</t>
  </si>
  <si>
    <t>2011-10-31 14:28:14</t>
  </si>
  <si>
    <t>1985-03-01</t>
  </si>
  <si>
    <t>2012-09-27 00:00:00</t>
  </si>
  <si>
    <t>630327xxx1x</t>
  </si>
  <si>
    <t>2011-10-31 14:48:12</t>
  </si>
  <si>
    <t>1983-04-01</t>
  </si>
  <si>
    <t>2011-12-10 00:00:00</t>
  </si>
  <si>
    <t>610520xxx8x</t>
  </si>
  <si>
    <t>2011-10-31 16:05:29</t>
  </si>
  <si>
    <t>2009-02-01</t>
  </si>
  <si>
    <t>510412xxx5x</t>
  </si>
  <si>
    <t>2011-10-31 16:10:43</t>
  </si>
  <si>
    <t>2011-12-22</t>
  </si>
  <si>
    <t>490702xxx4x</t>
  </si>
  <si>
    <t>2011-10-31 16:13:08</t>
  </si>
  <si>
    <t>601210xxx8x</t>
  </si>
  <si>
    <t>2011-10-31 16:37:31</t>
  </si>
  <si>
    <t>2007-04-16</t>
  </si>
  <si>
    <t>840722xxx1x</t>
  </si>
  <si>
    <t>2011-11-02 09:10:53</t>
  </si>
  <si>
    <t>2011-09-20</t>
  </si>
  <si>
    <t>2011-12-17</t>
  </si>
  <si>
    <t>450816xxx2x</t>
  </si>
  <si>
    <t>2011-11-02 09:10:41</t>
  </si>
  <si>
    <t>2011-12-02</t>
  </si>
  <si>
    <t>420201xxx2x</t>
  </si>
  <si>
    <t>2011-11-02 09:12:44</t>
  </si>
  <si>
    <t>2005-11-15</t>
  </si>
  <si>
    <t>500318xxx4x</t>
  </si>
  <si>
    <t>2011-11-02 09:32:14</t>
  </si>
  <si>
    <t>2001-01-01</t>
  </si>
  <si>
    <t>501110xxx4x</t>
  </si>
  <si>
    <t>2011-11-02 09:56:52</t>
  </si>
  <si>
    <t>920528xxx1x</t>
  </si>
  <si>
    <t>2011-11-02 10:54:06</t>
  </si>
  <si>
    <t>2011-06-20</t>
  </si>
  <si>
    <t>480905xxx9x</t>
  </si>
  <si>
    <t>2011-11-02 10:56:11</t>
  </si>
  <si>
    <t>2003-10-01</t>
  </si>
  <si>
    <t>2011-11-02 11:12:33</t>
  </si>
  <si>
    <t>521027xxx0x</t>
  </si>
  <si>
    <t>2011-11-02 11:08:15</t>
  </si>
  <si>
    <t>2009-05-01</t>
  </si>
  <si>
    <t>530906xxx4x</t>
  </si>
  <si>
    <t>2011-11-02 11:22:11</t>
  </si>
  <si>
    <t>780218xxx2x</t>
  </si>
  <si>
    <t>2011-11-02 11:30:32</t>
  </si>
  <si>
    <t>2008-07-07</t>
  </si>
  <si>
    <t>570113xxx8x</t>
  </si>
  <si>
    <t>2011-11-02 11:38:52</t>
  </si>
  <si>
    <t>2002-01-20</t>
  </si>
  <si>
    <t>480424xxx6x</t>
  </si>
  <si>
    <t>2011-11-02 11:45:05</t>
  </si>
  <si>
    <t>2001-07-01</t>
  </si>
  <si>
    <t>541109xxx2x</t>
  </si>
  <si>
    <t>2011-11-02 12:03:30</t>
  </si>
  <si>
    <t>2005-04-04</t>
  </si>
  <si>
    <t>690531xxx2x</t>
  </si>
  <si>
    <t>2011-11-02 12:56:55</t>
  </si>
  <si>
    <t>651124xxx2x</t>
  </si>
  <si>
    <t>2011-11-02 13:12:18</t>
  </si>
  <si>
    <t>2008-08-01</t>
  </si>
  <si>
    <t>381201xxx4x</t>
  </si>
  <si>
    <t>2011-11-02 13:44:35</t>
  </si>
  <si>
    <t>1995-07-01</t>
  </si>
  <si>
    <t>741203xxx8x</t>
  </si>
  <si>
    <t>2011-11-02 14:35:42</t>
  </si>
  <si>
    <t>500225xxx0x</t>
  </si>
  <si>
    <t>2011-11-02 15:57:14</t>
  </si>
  <si>
    <t>2007-03-23</t>
  </si>
  <si>
    <t>2011-12-20 00:00:00</t>
  </si>
  <si>
    <t>460708xxx2x</t>
  </si>
  <si>
    <t>2011-11-02 16:17:09</t>
  </si>
  <si>
    <t>2006-04-01</t>
  </si>
  <si>
    <t>530416xxx8x</t>
  </si>
  <si>
    <t>2011-11-03 09:40:13</t>
  </si>
  <si>
    <t>2008-06-01</t>
  </si>
  <si>
    <t>471009xxx1x</t>
  </si>
  <si>
    <t>2011-11-03 09:43:47</t>
  </si>
  <si>
    <t>430128xxx0x</t>
  </si>
  <si>
    <t>2011-11-03 09:44:08</t>
  </si>
  <si>
    <t>1998-08-31</t>
  </si>
  <si>
    <t>2011-12-03</t>
  </si>
  <si>
    <t>400821xxx3x</t>
  </si>
  <si>
    <t>2011-11-03 10:26:05</t>
  </si>
  <si>
    <t>2011-11-03 10:36:15</t>
  </si>
  <si>
    <t>651026xxx4x</t>
  </si>
  <si>
    <t>2011-11-03 11:31:35</t>
  </si>
  <si>
    <t>2004-01-01</t>
  </si>
  <si>
    <t>560420xxx8x</t>
  </si>
  <si>
    <t>2011-11-03 11:33:28</t>
  </si>
  <si>
    <t>2007-07-01</t>
  </si>
  <si>
    <t>610718xxx9x</t>
  </si>
  <si>
    <t>2011-11-03 12:20:34</t>
  </si>
  <si>
    <t>510624xxx6x</t>
  </si>
  <si>
    <t>2011-11-03 12:30:17</t>
  </si>
  <si>
    <t>2006-10-01</t>
  </si>
  <si>
    <t>530902xxx4x</t>
  </si>
  <si>
    <t>2011-11-03 13:20:11</t>
  </si>
  <si>
    <t>670308xxx5x</t>
  </si>
  <si>
    <t>2011-11-03 13:32:07</t>
  </si>
  <si>
    <t>1986-01-01</t>
  </si>
  <si>
    <t>2011-11-03 13:29:01</t>
  </si>
  <si>
    <t>800317xxx1x</t>
  </si>
  <si>
    <t>2011-11-03 13:48:22</t>
  </si>
  <si>
    <t>2012-10-31</t>
  </si>
  <si>
    <t>491006xxx0x</t>
  </si>
  <si>
    <t>2011-11-03 14:21:42</t>
  </si>
  <si>
    <t>2011-12-15 00:00:00</t>
  </si>
  <si>
    <t>560405xxx4x</t>
  </si>
  <si>
    <t>2011-11-03 14:30:28</t>
  </si>
  <si>
    <t>830409xxx9x</t>
  </si>
  <si>
    <t>2011-11-03 14:48:41</t>
  </si>
  <si>
    <t>2007-09-18</t>
  </si>
  <si>
    <t>760119xxx6x</t>
  </si>
  <si>
    <t>2011-11-03 14:48:16</t>
  </si>
  <si>
    <t>2010-03-23</t>
  </si>
  <si>
    <t>760530xxx7x</t>
  </si>
  <si>
    <t>2011-11-03 16:38:58</t>
  </si>
  <si>
    <t>560630xxx4x</t>
  </si>
  <si>
    <t>2011-11-03 16:43:01</t>
  </si>
  <si>
    <t>2006-07-30</t>
  </si>
  <si>
    <t>840311xxx8x</t>
  </si>
  <si>
    <t>2011-11-03 16:49:32</t>
  </si>
  <si>
    <t>2009-11-26</t>
  </si>
  <si>
    <t>700723xxx6x</t>
  </si>
  <si>
    <t>2011-11-04 09:26:52</t>
  </si>
  <si>
    <t>2011-12-05</t>
  </si>
  <si>
    <t>410107xxx5x</t>
  </si>
  <si>
    <t>2011-11-04 09:40:39</t>
  </si>
  <si>
    <t>2007-05-20</t>
  </si>
  <si>
    <t>661124xxx6x</t>
  </si>
  <si>
    <t>2011-11-04 10:21:37</t>
  </si>
  <si>
    <t>2007-12-13</t>
  </si>
  <si>
    <t>510604xxx8x</t>
  </si>
  <si>
    <t>2011-11-04 10:27:55</t>
  </si>
  <si>
    <t>2010-07-14</t>
  </si>
  <si>
    <t>400622xxx1x</t>
  </si>
  <si>
    <t>2011-11-04 10:36:48</t>
  </si>
  <si>
    <t>1988-06-01</t>
  </si>
  <si>
    <t>770720xxx8x</t>
  </si>
  <si>
    <t>2011-11-04 11:11:02</t>
  </si>
  <si>
    <t>2008-01-16</t>
  </si>
  <si>
    <t>2011-12-13 00:00:00</t>
  </si>
  <si>
    <t>461127xxx9x</t>
  </si>
  <si>
    <t>2011-11-04 11:26:11</t>
  </si>
  <si>
    <t>1995-01-04</t>
  </si>
  <si>
    <t>410102xxx4x</t>
  </si>
  <si>
    <t>2011-11-04 11:47:32</t>
  </si>
  <si>
    <t>490119xxx1x</t>
  </si>
  <si>
    <t>2011-11-04 12:09:13</t>
  </si>
  <si>
    <t>2004-04-01</t>
  </si>
  <si>
    <t>490221xxx1x</t>
  </si>
  <si>
    <t>2011-11-04 12:46:47</t>
  </si>
  <si>
    <t>1993-05-04</t>
  </si>
  <si>
    <t>510612xxx2x</t>
  </si>
  <si>
    <t>2011-11-04 13:35:08</t>
  </si>
  <si>
    <t>2001-10-14</t>
  </si>
  <si>
    <t>480919xxx0x</t>
  </si>
  <si>
    <t>2011-11-04 13:42:07</t>
  </si>
  <si>
    <t>2005-06-01</t>
  </si>
  <si>
    <t>430320xxx0x</t>
  </si>
  <si>
    <t>2011-11-04 13:55:54</t>
  </si>
  <si>
    <t>2000-09-27</t>
  </si>
  <si>
    <t>510712xxx6x</t>
  </si>
  <si>
    <t>2011-11-04 13:51:42</t>
  </si>
  <si>
    <t>731031xxx0x</t>
  </si>
  <si>
    <t>2011-11-04 14:08:00</t>
  </si>
  <si>
    <t>2007-12-17</t>
  </si>
  <si>
    <t>640125xxx1x</t>
  </si>
  <si>
    <t>2011-11-04 14:26:40</t>
  </si>
  <si>
    <t>1994-10-13</t>
  </si>
  <si>
    <t>821015xxx3x</t>
  </si>
  <si>
    <t>2011-11-04 14:42:14</t>
  </si>
  <si>
    <t>571230xxx6x</t>
  </si>
  <si>
    <t>2011-11-04 15:40:17</t>
  </si>
  <si>
    <t>2011-08-19</t>
  </si>
  <si>
    <t>431121xxx8x</t>
  </si>
  <si>
    <t>2011-11-04 15:44:18</t>
  </si>
  <si>
    <t>2001-11-11</t>
  </si>
  <si>
    <t>680125xxx0x</t>
  </si>
  <si>
    <t>2011-11-04 16:20:43</t>
  </si>
  <si>
    <t>2007-01-01</t>
  </si>
  <si>
    <t>600504xxx1x</t>
  </si>
  <si>
    <t>2011-11-05 09:12:21</t>
  </si>
  <si>
    <t>2015-12-31</t>
  </si>
  <si>
    <t>571022xxx8x</t>
  </si>
  <si>
    <t>2011-11-05 10:30:55</t>
  </si>
  <si>
    <t>2006-10-17</t>
  </si>
  <si>
    <t>490226xxx3x</t>
  </si>
  <si>
    <t>2011-11-05 12:09:13</t>
  </si>
  <si>
    <t>2010-07-05</t>
  </si>
  <si>
    <t>790213xxx1x</t>
  </si>
  <si>
    <t>2011-11-05 12:55:29</t>
  </si>
  <si>
    <t>2001-12-13</t>
  </si>
  <si>
    <t>410126xxx0x</t>
  </si>
  <si>
    <t>2011-11-07 10:21:30</t>
  </si>
  <si>
    <t>2011-12-07</t>
  </si>
  <si>
    <t>681004xxx5x</t>
  </si>
  <si>
    <t>2011-11-07 10:51:53</t>
  </si>
  <si>
    <t>1986-10-30</t>
  </si>
  <si>
    <t>530611xxx3x</t>
  </si>
  <si>
    <t>2011-11-07 12:30:06</t>
  </si>
  <si>
    <t>1998-08-01</t>
  </si>
  <si>
    <t>2011-11-07 12:45:49</t>
  </si>
  <si>
    <t>2011-12-14 00:00:00</t>
  </si>
  <si>
    <t>600330xxx5x</t>
  </si>
  <si>
    <t>2011-11-07 13:17:10</t>
  </si>
  <si>
    <t>1996-12-31</t>
  </si>
  <si>
    <t>580604xxx0x</t>
  </si>
  <si>
    <t>2011-11-07 13:25:22</t>
  </si>
  <si>
    <t>1999-11-02</t>
  </si>
  <si>
    <t>2011-11-07 13:25:40</t>
  </si>
  <si>
    <t>360716xxx8x</t>
  </si>
  <si>
    <t>2011-11-07 13:33:04</t>
  </si>
  <si>
    <t>460902xxx2x</t>
  </si>
  <si>
    <t>2011-11-07 13:46:56</t>
  </si>
  <si>
    <t>2002-05-01</t>
  </si>
  <si>
    <t>470319xxx0x</t>
  </si>
  <si>
    <t>2011-11-07 14:39:08</t>
  </si>
  <si>
    <t>2011-11-07 15:42:14</t>
  </si>
  <si>
    <t>730326xxx9x</t>
  </si>
  <si>
    <t>2011-11-07 15:56:40</t>
  </si>
  <si>
    <t>2006-04-05</t>
  </si>
  <si>
    <t>620223xxx6x</t>
  </si>
  <si>
    <t>2011-11-07 16:11:44</t>
  </si>
  <si>
    <t>1992-05-01</t>
  </si>
  <si>
    <t>720401xxx6x</t>
  </si>
  <si>
    <t>2011-11-08 09:51:51</t>
  </si>
  <si>
    <t>2013-02-28</t>
  </si>
  <si>
    <t>2011-12-08</t>
  </si>
  <si>
    <t>490619xxx9x</t>
  </si>
  <si>
    <t>2011-11-08 10:07:47</t>
  </si>
  <si>
    <t>2009-06-30</t>
  </si>
  <si>
    <t>2012-07-24 00:00:00</t>
  </si>
  <si>
    <t>501107xxx7x</t>
  </si>
  <si>
    <t>2011-11-08 12:47:45</t>
  </si>
  <si>
    <t>1992-07-01</t>
  </si>
  <si>
    <t>530419xxx8x</t>
  </si>
  <si>
    <t>2011-11-08 15:13:22</t>
  </si>
  <si>
    <t>2011-11-08 15:13:01</t>
  </si>
  <si>
    <t>790103xxx7x</t>
  </si>
  <si>
    <t>2011-11-08 16:07:00</t>
  </si>
  <si>
    <t>2012-02-28</t>
  </si>
  <si>
    <t>650429xxx4x</t>
  </si>
  <si>
    <t>2011-11-09 10:02:48</t>
  </si>
  <si>
    <t>2007-10-01</t>
  </si>
  <si>
    <t>2011-11-20</t>
  </si>
  <si>
    <t>670104xxx1x</t>
  </si>
  <si>
    <t>2011-11-09 10:05:07</t>
  </si>
  <si>
    <t>1992-01-22</t>
  </si>
  <si>
    <t>2011-12-09</t>
  </si>
  <si>
    <t>360411xxx9x</t>
  </si>
  <si>
    <t>2011-11-09 11:19:33</t>
  </si>
  <si>
    <t>1996-04-01</t>
  </si>
  <si>
    <t>380821xxx7x</t>
  </si>
  <si>
    <t>2011-11-09 11:27:13</t>
  </si>
  <si>
    <t>2000-02-14</t>
  </si>
  <si>
    <t>800222xxx7x</t>
  </si>
  <si>
    <t>2011-11-09 11:32:43</t>
  </si>
  <si>
    <t>2010-07-03</t>
  </si>
  <si>
    <t>2011-12-16 00:00:00</t>
  </si>
  <si>
    <t>640711xxx7x</t>
  </si>
  <si>
    <t>2011-11-09 11:34:45</t>
  </si>
  <si>
    <t>550922xxx4x</t>
  </si>
  <si>
    <t>2011-11-09 11:43:36</t>
  </si>
  <si>
    <t>2007-02-02</t>
  </si>
  <si>
    <t>430408xxx2x</t>
  </si>
  <si>
    <t>2011-11-09 12:39:14</t>
  </si>
  <si>
    <t>1995-10-01</t>
  </si>
  <si>
    <t>781102xxx0x</t>
  </si>
  <si>
    <t>2011-11-09 13:24:39</t>
  </si>
  <si>
    <t>2009-05-18</t>
  </si>
  <si>
    <t>540913xxx6x</t>
  </si>
  <si>
    <t>2011-11-09 13:50:02</t>
  </si>
  <si>
    <t>430511xxx4x</t>
  </si>
  <si>
    <t>2011-11-09 14:24:11</t>
  </si>
  <si>
    <t>2000-11-23</t>
  </si>
  <si>
    <t>590423xxx1x</t>
  </si>
  <si>
    <t>2011-11-09 15:42:28</t>
  </si>
  <si>
    <t>1996-01-01</t>
  </si>
  <si>
    <t>781128xxx6x</t>
  </si>
  <si>
    <t>2011-11-09 15:56:26</t>
  </si>
  <si>
    <t>570929xxx2x</t>
  </si>
  <si>
    <t>2011-11-09 16:12:15</t>
  </si>
  <si>
    <t>2011-11-09 16:13:56</t>
  </si>
  <si>
    <t>530521xxx8x</t>
  </si>
  <si>
    <t>2011-11-09 16:51:03</t>
  </si>
  <si>
    <t>1995-12-18</t>
  </si>
  <si>
    <t>2013-05-31</t>
  </si>
  <si>
    <t>561209xxx9x</t>
  </si>
  <si>
    <t>2011-11-09 17:43:02</t>
  </si>
  <si>
    <t>2006-09-08</t>
  </si>
  <si>
    <t>480211xxx0x</t>
  </si>
  <si>
    <t>2011-11-10 09:52:02</t>
  </si>
  <si>
    <t>2003-12-14</t>
  </si>
  <si>
    <t>2011-12-10</t>
  </si>
  <si>
    <t>461217xxx9x</t>
  </si>
  <si>
    <t>2011-11-10 10:03:58</t>
  </si>
  <si>
    <t>2009-12-05</t>
  </si>
  <si>
    <t>2012-12-04</t>
  </si>
  <si>
    <t>2011-11-10 10:20:51</t>
  </si>
  <si>
    <t>841221xxx3x</t>
  </si>
  <si>
    <t>2011-11-10 10:55:07</t>
  </si>
  <si>
    <t>2009-05-21</t>
  </si>
  <si>
    <t>2012-06-20</t>
  </si>
  <si>
    <t>460101xxx4x</t>
  </si>
  <si>
    <t>2011-11-10 11:00:21</t>
  </si>
  <si>
    <t>2000-11-17</t>
  </si>
  <si>
    <t>500209xxx6x</t>
  </si>
  <si>
    <t>2011-11-10 11:04:51</t>
  </si>
  <si>
    <t>640331xxx3x</t>
  </si>
  <si>
    <t>2011-11-10 11:50:34</t>
  </si>
  <si>
    <t>2011-01-05</t>
  </si>
  <si>
    <t>2013-04-09</t>
  </si>
  <si>
    <t>580917xxx7x</t>
  </si>
  <si>
    <t>2011-11-10 12:03:23</t>
  </si>
  <si>
    <t>2011-11-10 12:12:58</t>
  </si>
  <si>
    <t>800518xxx8x</t>
  </si>
  <si>
    <t>2011-11-10 12:15:20</t>
  </si>
  <si>
    <t>2011-05-23</t>
  </si>
  <si>
    <t>2011-12-21 00:00:00</t>
  </si>
  <si>
    <t>2011-11-10 12:35:55</t>
  </si>
  <si>
    <t>440202xxx4x</t>
  </si>
  <si>
    <t>2011-11-10 12:44:19</t>
  </si>
  <si>
    <t>510408xxx4x</t>
  </si>
  <si>
    <t>2011-11-10 14:06:36</t>
  </si>
  <si>
    <t>2007-04-12</t>
  </si>
  <si>
    <t>580426xxx0x</t>
  </si>
  <si>
    <t>2011-11-10 14:42:17</t>
  </si>
  <si>
    <t>2002-04-12</t>
  </si>
  <si>
    <t>2011-11-10 14:50:31</t>
  </si>
  <si>
    <t>490121xxx0x</t>
  </si>
  <si>
    <t>2011-11-10 14:52:37</t>
  </si>
  <si>
    <t>580805xxx4x</t>
  </si>
  <si>
    <t>2011-11-10 15:14:58</t>
  </si>
  <si>
    <t>2007-08-16</t>
  </si>
  <si>
    <t>571024xxx6x</t>
  </si>
  <si>
    <t>2011-11-10 15:15:29</t>
  </si>
  <si>
    <t>780603xxx5x</t>
  </si>
  <si>
    <t>2011-11-10 15:25:34</t>
  </si>
  <si>
    <t>720512xxx8x</t>
  </si>
  <si>
    <t>2011-11-10 15:48:00</t>
  </si>
  <si>
    <t>2011-01-31</t>
  </si>
  <si>
    <t>2016-01-30</t>
  </si>
  <si>
    <t>520406xxx9x</t>
  </si>
  <si>
    <t>2011-11-10 16:35:24</t>
  </si>
  <si>
    <t>2005-12-30</t>
  </si>
  <si>
    <t>2011-11-10 16:28:39</t>
  </si>
  <si>
    <t>560310xxx2x</t>
  </si>
  <si>
    <t>2011-11-10 16:32:35</t>
  </si>
  <si>
    <t>2009-12-01</t>
  </si>
  <si>
    <t>491201xxx0x</t>
  </si>
  <si>
    <t>2011-11-10 17:05:10</t>
  </si>
  <si>
    <t>430122xxx7x</t>
  </si>
  <si>
    <t>2011-11-10 17:34:45</t>
  </si>
  <si>
    <t>2008-01-22</t>
  </si>
  <si>
    <t>640401xxx8x</t>
  </si>
  <si>
    <t>2011-11-10 17:57:45</t>
  </si>
  <si>
    <t>2007-04-01</t>
  </si>
  <si>
    <t>500911xxx6x</t>
  </si>
  <si>
    <t>2011-11-14 09:14:06</t>
  </si>
  <si>
    <t>2011-12-14</t>
  </si>
  <si>
    <t>761216xxx5x</t>
  </si>
  <si>
    <t>2011-11-14 09:22:53</t>
  </si>
  <si>
    <t>2009-01-04</t>
  </si>
  <si>
    <t>670617xxx4x</t>
  </si>
  <si>
    <t>2011-11-14 09:40:39</t>
  </si>
  <si>
    <t>2011-11-14 09:44:29</t>
  </si>
  <si>
    <t>2011-12-27 00:00:00</t>
  </si>
  <si>
    <t>2011-11-14 10:09:41</t>
  </si>
  <si>
    <t>2011-11-14 10:15:48</t>
  </si>
  <si>
    <t>820615xxx7x</t>
  </si>
  <si>
    <t>2011-11-14 10:21:58</t>
  </si>
  <si>
    <t>2005-05-04</t>
  </si>
  <si>
    <t>2011-12-17 00:00:00</t>
  </si>
  <si>
    <t>2011-11-14 10:27:11</t>
  </si>
  <si>
    <t>2011-12-19 00:00:00</t>
  </si>
  <si>
    <t>2011-11-14 11:03:10</t>
  </si>
  <si>
    <t>2011-11-14 11:10:27</t>
  </si>
  <si>
    <t>2011-11-14 11:18:53</t>
  </si>
  <si>
    <t>820331xxx9x</t>
  </si>
  <si>
    <t>2011-11-14 11:31:54</t>
  </si>
  <si>
    <t>2006-12-22</t>
  </si>
  <si>
    <t>391124xxx0x</t>
  </si>
  <si>
    <t>2011-11-14 11:38:06</t>
  </si>
  <si>
    <t>2000-03-29</t>
  </si>
  <si>
    <t>450215xxx6x</t>
  </si>
  <si>
    <t>2011-11-14 12:22:11</t>
  </si>
  <si>
    <t>2011-11-14 12:26:05</t>
  </si>
  <si>
    <t>380823xxx0x</t>
  </si>
  <si>
    <t>2011-11-14 12:40:05</t>
  </si>
  <si>
    <t>1998-04-01</t>
  </si>
  <si>
    <t>2011-12-29 00:00:00</t>
  </si>
  <si>
    <t>690905xxx7x</t>
  </si>
  <si>
    <t>2011-11-14 12:49:38</t>
  </si>
  <si>
    <t>2003-04-01</t>
  </si>
  <si>
    <t>391023xxx1x</t>
  </si>
  <si>
    <t>2011-11-14 12:49:03</t>
  </si>
  <si>
    <t>2004-12-22</t>
  </si>
  <si>
    <t>2011-11-14 12:59:14</t>
  </si>
  <si>
    <t>420119xxx4x</t>
  </si>
  <si>
    <t>2011-11-14 13:04:05</t>
  </si>
  <si>
    <t>2002-01-01</t>
  </si>
  <si>
    <t>2011-11-14 13:04:34</t>
  </si>
  <si>
    <t>760812xxx6x</t>
  </si>
  <si>
    <t>2011-11-14 13:04:55</t>
  </si>
  <si>
    <t>2011-01-14</t>
  </si>
  <si>
    <t>711011xxx6x</t>
  </si>
  <si>
    <t>2011-11-14 13:22:37</t>
  </si>
  <si>
    <t>2010-10-27</t>
  </si>
  <si>
    <t>2013-12-21</t>
  </si>
  <si>
    <t>2011-11-14 14:18:03</t>
  </si>
  <si>
    <t>600522xxx7x</t>
  </si>
  <si>
    <t>2011-11-14 14:46:09</t>
  </si>
  <si>
    <t>2008-07-20</t>
  </si>
  <si>
    <t>2011-12-23 00:00:00</t>
  </si>
  <si>
    <t>460118xxx1x</t>
  </si>
  <si>
    <t>2011-11-14 15:09:40</t>
  </si>
  <si>
    <t>2011-11-14 15:04:59</t>
  </si>
  <si>
    <t>2011-12-22 00:00:00</t>
  </si>
  <si>
    <t>710813xxx1x</t>
  </si>
  <si>
    <t>2011-11-14 15:25:43</t>
  </si>
  <si>
    <t>410215xxx8x</t>
  </si>
  <si>
    <t>2011-11-14 15:25:54</t>
  </si>
  <si>
    <t>2001-11-09</t>
  </si>
  <si>
    <t>730709xxx8x</t>
  </si>
  <si>
    <t>2011-11-14 16:41:20</t>
  </si>
  <si>
    <t>2011-11-14 16:47:06</t>
  </si>
  <si>
    <t>2011-11-15 09:11:49</t>
  </si>
  <si>
    <t>470306xxx2x</t>
  </si>
  <si>
    <t>2011-11-15 09:30:17</t>
  </si>
  <si>
    <t>2000-08-09</t>
  </si>
  <si>
    <t>2011-11-15 10:07:26</t>
  </si>
  <si>
    <t>2011-11-15 11:44:24</t>
  </si>
  <si>
    <t>580511xxx2x</t>
  </si>
  <si>
    <t>2011-11-15 12:45:14</t>
  </si>
  <si>
    <t>2011-11-15 12:48:57</t>
  </si>
  <si>
    <t>2011-11-15 13:13:46</t>
  </si>
  <si>
    <t>2011-11-15 14:04:12</t>
  </si>
  <si>
    <t>570511xxx8x</t>
  </si>
  <si>
    <t>2011-11-15 15:20:55</t>
  </si>
  <si>
    <t>2006-02-07</t>
  </si>
  <si>
    <t>780309xxx5x</t>
  </si>
  <si>
    <t>2011-11-15 15:44:44</t>
  </si>
  <si>
    <t>2008-08-11</t>
  </si>
  <si>
    <t>2012-01-01</t>
  </si>
  <si>
    <t>2011-11-15 16:02:18</t>
  </si>
  <si>
    <t>630821xxx5x</t>
  </si>
  <si>
    <t>2011-11-15 16:12:57</t>
  </si>
  <si>
    <t>2011-11-15 16:19:23</t>
  </si>
  <si>
    <t>2011-11-15 16:40:25</t>
  </si>
  <si>
    <t>2011-11-15 16:57:37</t>
  </si>
  <si>
    <t>650105xxx7x</t>
  </si>
  <si>
    <t>2011-11-16 09:48:30</t>
  </si>
  <si>
    <t>2011-12-16</t>
  </si>
  <si>
    <t>2011-11-16 10:12:41</t>
  </si>
  <si>
    <t>780302xxx1x</t>
  </si>
  <si>
    <t>2011-11-16 12:04:22</t>
  </si>
  <si>
    <t>2011-05-07</t>
  </si>
  <si>
    <t>2013-08-06</t>
  </si>
  <si>
    <t>2011-11-16 11:56:56</t>
  </si>
  <si>
    <t>2011-11-16 12:31:47</t>
  </si>
  <si>
    <t>2011-11-16 13:17:22</t>
  </si>
  <si>
    <t>2011-11-16 13:25:33</t>
  </si>
  <si>
    <t>821212xxx5x</t>
  </si>
  <si>
    <t>2011-11-16 13:57:57</t>
  </si>
  <si>
    <t>2007-05-02</t>
  </si>
  <si>
    <t>2011-11-16 13:45:57</t>
  </si>
  <si>
    <t>2011-11-16 14:09:59</t>
  </si>
  <si>
    <t>561216xxx6x</t>
  </si>
  <si>
    <t>2011-11-16 14:29:07</t>
  </si>
  <si>
    <t>1998-03-16</t>
  </si>
  <si>
    <t>2011-11-16 14:39:41</t>
  </si>
  <si>
    <t>2011-11-16 14:51:36</t>
  </si>
  <si>
    <t>540328xxx5x</t>
  </si>
  <si>
    <t>2011-11-16 15:37:19</t>
  </si>
  <si>
    <t>2006-01-11</t>
  </si>
  <si>
    <t>2012-01-02 00:00:00</t>
  </si>
  <si>
    <t>510215xxx2x</t>
  </si>
  <si>
    <t>2011-11-16 16:13:08</t>
  </si>
  <si>
    <t>2006-02-15</t>
  </si>
  <si>
    <t>2011-11-16 16:18:08</t>
  </si>
  <si>
    <t>2011-12-28 00:00:00</t>
  </si>
  <si>
    <t>2011-11-16 16:50:22</t>
  </si>
  <si>
    <t>381007xxx8x</t>
  </si>
  <si>
    <t>2011-11-16 17:20:23</t>
  </si>
  <si>
    <t>2002-04-16</t>
  </si>
  <si>
    <t>2011-11-16 17:21:01</t>
  </si>
  <si>
    <t>2011-11-16 17:26:16</t>
  </si>
  <si>
    <t>2011-11-17 10:43:27</t>
  </si>
  <si>
    <t>2011-11-17 10:53:34</t>
  </si>
  <si>
    <t>2011-11-17 10:53:56</t>
  </si>
  <si>
    <t>680301xxx0x</t>
  </si>
  <si>
    <t>2011-11-17 11:23:03</t>
  </si>
  <si>
    <t>2009-09-08</t>
  </si>
  <si>
    <t>640519xxx1x</t>
  </si>
  <si>
    <t>2011-11-17 13:07:58</t>
  </si>
  <si>
    <t>1998-10-01</t>
  </si>
  <si>
    <t>500709xxx3x</t>
  </si>
  <si>
    <t>2011-11-17 13:03:45</t>
  </si>
  <si>
    <t>1997-12-31</t>
  </si>
  <si>
    <t>2012-01-04 00:00:00</t>
  </si>
  <si>
    <t>710524xxx8x</t>
  </si>
  <si>
    <t>2011-11-17 14:31:14</t>
  </si>
  <si>
    <t>2011-11-17 15:15:39</t>
  </si>
  <si>
    <t>870329xxx3x</t>
  </si>
  <si>
    <t>2011-11-17 15:33:51</t>
  </si>
  <si>
    <t>2010-01-20</t>
  </si>
  <si>
    <t>900427xxx6x</t>
  </si>
  <si>
    <t>2011-11-17 15:49:40</t>
  </si>
  <si>
    <t>2016-09-30</t>
  </si>
  <si>
    <t>2011-11-17 16:10:07</t>
  </si>
  <si>
    <t>660325xxx9x</t>
  </si>
  <si>
    <t>2011-11-17 17:17:10</t>
  </si>
  <si>
    <t>1996-03-25</t>
  </si>
  <si>
    <t>2014-03-01</t>
  </si>
  <si>
    <t>880913xxx7x</t>
  </si>
  <si>
    <t>2011-11-17 17:54:07</t>
  </si>
  <si>
    <t>2009-06-09</t>
  </si>
  <si>
    <t>2011-11-18 08:33:06</t>
  </si>
  <si>
    <t>2011-12-19</t>
  </si>
  <si>
    <t>2011-11-18 09:00:18</t>
  </si>
  <si>
    <t>2011-11-18 10:37:57</t>
  </si>
  <si>
    <t>571209xxx5x</t>
  </si>
  <si>
    <t>2011-11-18 10:54:32</t>
  </si>
  <si>
    <t>670103xxx8x</t>
  </si>
  <si>
    <t>2011-11-18 12:00:28</t>
  </si>
  <si>
    <t>1999-08-31</t>
  </si>
  <si>
    <t>2011-11-18 13:24:37</t>
  </si>
  <si>
    <t>2011-11-18 13:34:10</t>
  </si>
  <si>
    <t>500211xxx8x</t>
  </si>
  <si>
    <t>2011-11-18 13:44:39</t>
  </si>
  <si>
    <t>2012-01-09 00:00:00</t>
  </si>
  <si>
    <t>2011-11-18 14:19:22</t>
  </si>
  <si>
    <t>801010xxx9x</t>
  </si>
  <si>
    <t>2011-11-18 14:40:36</t>
  </si>
  <si>
    <t>2007-08-02</t>
  </si>
  <si>
    <t>2011-11-18 16:07:43</t>
  </si>
  <si>
    <t>2011-11-18 16:39:56</t>
  </si>
  <si>
    <t>2011-11-18 16:40:21</t>
  </si>
  <si>
    <t>2011-11-19 11:29:00</t>
  </si>
  <si>
    <t>2011-11-19 11:40:16</t>
  </si>
  <si>
    <t>2011-11-19 13:37:00</t>
  </si>
  <si>
    <t>2011-11-21 09:26:18</t>
  </si>
  <si>
    <t>2011-12-21</t>
  </si>
  <si>
    <t>2011-11-21 10:13:45</t>
  </si>
  <si>
    <t>2012-11-08 00:00:00</t>
  </si>
  <si>
    <t>2011-11-21 10:24:53</t>
  </si>
  <si>
    <t>850405xxx8x</t>
  </si>
  <si>
    <t>2011-11-21 11:33:04</t>
  </si>
  <si>
    <t>490807xxx6x</t>
  </si>
  <si>
    <t>2011-11-21 12:18:39</t>
  </si>
  <si>
    <t>2009-03-03</t>
  </si>
  <si>
    <t>2011-11-21 14:18:12</t>
  </si>
  <si>
    <t>460803xxx7x</t>
  </si>
  <si>
    <t>2011-11-21 14:34:38</t>
  </si>
  <si>
    <t>2011-11-21 14:35:09</t>
  </si>
  <si>
    <t>2011-11-21 14:41:14</t>
  </si>
  <si>
    <t>2011-11-21 15:26:52</t>
  </si>
  <si>
    <t>2011-11-21 15:48:37</t>
  </si>
  <si>
    <t>2011-11-21 16:52:19</t>
  </si>
  <si>
    <t>2011-11-21 17:53:28</t>
  </si>
  <si>
    <t>390915xxx4x</t>
  </si>
  <si>
    <t>2011-11-22 09:41:19</t>
  </si>
  <si>
    <t>540709xxx7x</t>
  </si>
  <si>
    <t>2011-11-22 09:40:55</t>
  </si>
  <si>
    <t>2004-08-01</t>
  </si>
  <si>
    <t>2011-11-22 10:07:19</t>
  </si>
  <si>
    <t>2011-11-22 11:10:06</t>
  </si>
  <si>
    <t>641111xxx5x</t>
  </si>
  <si>
    <t>2011-11-22 11:16:54</t>
  </si>
  <si>
    <t>2004-08-10</t>
  </si>
  <si>
    <t>530625xxx2x</t>
  </si>
  <si>
    <t>2011-11-22 14:23:46</t>
  </si>
  <si>
    <t>2007-11-07</t>
  </si>
  <si>
    <t>2011-11-22 14:23:59</t>
  </si>
  <si>
    <t>2011-11-22 14:30:33</t>
  </si>
  <si>
    <t>2011-11-22 14:57:30</t>
  </si>
  <si>
    <t>721222xxx2x</t>
  </si>
  <si>
    <t>2011-11-22 15:36:00</t>
  </si>
  <si>
    <t>2007-06-26</t>
  </si>
  <si>
    <t>2011-11-22 16:31:28</t>
  </si>
  <si>
    <t>360824xxx4x</t>
  </si>
  <si>
    <t>2011-11-23 09:20:31</t>
  </si>
  <si>
    <t>1991-05-01</t>
  </si>
  <si>
    <t>2011-12-23</t>
  </si>
  <si>
    <t>610108xxx2x</t>
  </si>
  <si>
    <t>2011-11-23 09:48:56</t>
  </si>
  <si>
    <t>2012-01-05 00:00:00</t>
  </si>
  <si>
    <t>510124xxx6x</t>
  </si>
  <si>
    <t>2011-11-23 10:20:08</t>
  </si>
  <si>
    <t>661005xxx4x</t>
  </si>
  <si>
    <t>2011-11-23 10:59:05</t>
  </si>
  <si>
    <t>2011-11-23 11:02:39</t>
  </si>
  <si>
    <t>2011-11-23 11:01:19</t>
  </si>
  <si>
    <t>2011-11-23 11:36:38</t>
  </si>
  <si>
    <t>2011-11-23 12:13:41</t>
  </si>
  <si>
    <t>2012-06-21 00:00:00</t>
  </si>
  <si>
    <t>2011-11-23 12:40:28</t>
  </si>
  <si>
    <t>810724xxx9x</t>
  </si>
  <si>
    <t>2011-11-23 14:07:24</t>
  </si>
  <si>
    <t>2002-04-01</t>
  </si>
  <si>
    <t>920211xxx8x</t>
  </si>
  <si>
    <t>2011-11-23 14:10:45</t>
  </si>
  <si>
    <t>2011-09-12</t>
  </si>
  <si>
    <t>2013-08-31</t>
  </si>
  <si>
    <t>491112xxx9x</t>
  </si>
  <si>
    <t>2011-11-23 14:13:46</t>
  </si>
  <si>
    <t>2011-11-23 14:17:14</t>
  </si>
  <si>
    <t>2011-11-23 14:19:06</t>
  </si>
  <si>
    <t>2012-10-09 00:00:00</t>
  </si>
  <si>
    <t>2011-11-23 14:43:44</t>
  </si>
  <si>
    <t>2012-01-10 00:00:00</t>
  </si>
  <si>
    <t>2011-11-23 15:06:01</t>
  </si>
  <si>
    <t>2011-11-23 15:32:38</t>
  </si>
  <si>
    <t>2011-11-23 15:32:51</t>
  </si>
  <si>
    <t>2011-11-23 16:24:57</t>
  </si>
  <si>
    <t>2011-11-23 16:32:09</t>
  </si>
  <si>
    <t>2011-11-23 16:38:07</t>
  </si>
  <si>
    <t>2011-11-23 17:07:44</t>
  </si>
  <si>
    <t>2011-11-24 09:13:37</t>
  </si>
  <si>
    <t>2011-12-24</t>
  </si>
  <si>
    <t>2011-11-24 10:06:29</t>
  </si>
  <si>
    <t>2011-11-24 10:58:37</t>
  </si>
  <si>
    <t>2011-11-24 11:09:11</t>
  </si>
  <si>
    <t>621221xxx7x</t>
  </si>
  <si>
    <t>2011-11-24 11:36:00</t>
  </si>
  <si>
    <t>1980-08-01</t>
  </si>
  <si>
    <t>2011-11-24 14:45:22</t>
  </si>
  <si>
    <t>2011-11-24 14:46:44</t>
  </si>
  <si>
    <t>2011-11-24 15:19:30</t>
  </si>
  <si>
    <t>2012-11-20 00:00:00</t>
  </si>
  <si>
    <t>2011-11-24 15:44:36</t>
  </si>
  <si>
    <t>2011-11-24 16:48:06</t>
  </si>
  <si>
    <t>2011-11-25 09:24:05</t>
  </si>
  <si>
    <t>2011-12-27</t>
  </si>
  <si>
    <t>430221xxx7x</t>
  </si>
  <si>
    <t>2011-11-25 09:37:47</t>
  </si>
  <si>
    <t>2003-02-01</t>
  </si>
  <si>
    <t>2011-11-25 09:59:52</t>
  </si>
  <si>
    <t>541125xxx3x</t>
  </si>
  <si>
    <t>2011-11-25 10:18:59</t>
  </si>
  <si>
    <t>750204xxx2x</t>
  </si>
  <si>
    <t>2011-11-25 10:19:13</t>
  </si>
  <si>
    <t>1996-11-05</t>
  </si>
  <si>
    <t>2011-11-25 10:25:23</t>
  </si>
  <si>
    <t>2012-03-07 00:00:00</t>
  </si>
  <si>
    <t>2011-11-25 10:57:08</t>
  </si>
  <si>
    <t>2011-11-25 10:59:37</t>
  </si>
  <si>
    <t>2011-12-01</t>
  </si>
  <si>
    <t>401224xxx0x</t>
  </si>
  <si>
    <t>2011-11-25 11:28:37</t>
  </si>
  <si>
    <t>1990-11-25</t>
  </si>
  <si>
    <t>690313xxx1x</t>
  </si>
  <si>
    <t>2011-11-25 11:48:07</t>
  </si>
  <si>
    <t>2011-05-01</t>
  </si>
  <si>
    <t>2013-09-30</t>
  </si>
  <si>
    <t>2011-11-25 11:52:33</t>
  </si>
  <si>
    <t>860919xxx1x</t>
  </si>
  <si>
    <t>2011-11-25 12:57:12</t>
  </si>
  <si>
    <t>2013-06-30</t>
  </si>
  <si>
    <t>510301xxx0x</t>
  </si>
  <si>
    <t>2011-11-25 13:37:50</t>
  </si>
  <si>
    <t>710820xxx9x</t>
  </si>
  <si>
    <t>2011-11-25 13:58:27</t>
  </si>
  <si>
    <t>470622xxx2x</t>
  </si>
  <si>
    <t>2011-11-25 14:04:53</t>
  </si>
  <si>
    <t>2006-11-01</t>
  </si>
  <si>
    <t>750818xxx9x</t>
  </si>
  <si>
    <t>2011-11-25 14:18:16</t>
  </si>
  <si>
    <t>2012-05-01</t>
  </si>
  <si>
    <t>2011-11-25 14:27:34</t>
  </si>
  <si>
    <t>2011-11-25 14:52:29</t>
  </si>
  <si>
    <t>2011-11-25 15:40:06</t>
  </si>
  <si>
    <t>900110xxx0x</t>
  </si>
  <si>
    <t>2011-11-25 16:33:27</t>
  </si>
  <si>
    <t>2011-03-08</t>
  </si>
  <si>
    <t>680601xxx1x</t>
  </si>
  <si>
    <t>2011-11-25 17:04:40</t>
  </si>
  <si>
    <t>2000-11-01</t>
  </si>
  <si>
    <t>2011-11-25 17:11:29</t>
  </si>
  <si>
    <t>2011-11-26 09:00:19</t>
  </si>
  <si>
    <t>2011-11-26 10:04:28</t>
  </si>
  <si>
    <t>2011-11-26 10:25:17</t>
  </si>
  <si>
    <t>2011-11-26 10:49:28</t>
  </si>
  <si>
    <t>2011-11-26 11:48:20</t>
  </si>
  <si>
    <t>2011-11-26 12:10:20</t>
  </si>
  <si>
    <t>2011-11-26 12:47:15</t>
  </si>
  <si>
    <t>2011-11-26 13:38:58</t>
  </si>
  <si>
    <t>2011-11-28 08:57:02</t>
  </si>
  <si>
    <t>2012-02-07 00:00:00</t>
  </si>
  <si>
    <t>2011-11-28 10:36:07</t>
  </si>
  <si>
    <t>2011-11-28 12:00:51</t>
  </si>
  <si>
    <t>2011-11-28 12:05:43</t>
  </si>
  <si>
    <t>2011-11-28 12:43:45</t>
  </si>
  <si>
    <t>2012-01-03 00:00:00</t>
  </si>
  <si>
    <t>2011-11-28 13:52:19</t>
  </si>
  <si>
    <t>720303xxx2x</t>
  </si>
  <si>
    <t>2011-11-28 14:37:43</t>
  </si>
  <si>
    <t>2003-09-03</t>
  </si>
  <si>
    <t>380529xxx9x</t>
  </si>
  <si>
    <t>2011-11-28 14:51:21</t>
  </si>
  <si>
    <t>2001-11-01</t>
  </si>
  <si>
    <t>470409xxx3x</t>
  </si>
  <si>
    <t>2011-11-28 15:14:45</t>
  </si>
  <si>
    <t>2008-11-10</t>
  </si>
  <si>
    <t>590114xxx4x</t>
  </si>
  <si>
    <t>2011-11-28 15:58:34</t>
  </si>
  <si>
    <t>1997-04-04</t>
  </si>
  <si>
    <t>310125xxx9x</t>
  </si>
  <si>
    <t>2011-11-28 16:15:42</t>
  </si>
  <si>
    <t>1995-07-26</t>
  </si>
  <si>
    <t>2011-11-28 16:39:20</t>
  </si>
  <si>
    <t>2011-11-28 16:47:09</t>
  </si>
  <si>
    <t>2011-11-28 16:54:06</t>
  </si>
  <si>
    <t>2011-11-29 09:05:41</t>
  </si>
  <si>
    <t>2011-12-29</t>
  </si>
  <si>
    <t>710917xxx1x</t>
  </si>
  <si>
    <t>2011-11-29 09:52:40</t>
  </si>
  <si>
    <t>1997-10-01</t>
  </si>
  <si>
    <t>2011-11-29 10:26:46</t>
  </si>
  <si>
    <t>2011-11-29 11:27:11</t>
  </si>
  <si>
    <t>2012-01-11 00:00:00</t>
  </si>
  <si>
    <t>440110xxx0x</t>
  </si>
  <si>
    <t>2011-11-29 11:44:35</t>
  </si>
  <si>
    <t>1991-03-11</t>
  </si>
  <si>
    <t>2011-11-29 14:22:39</t>
  </si>
  <si>
    <t>441130xxx7x</t>
  </si>
  <si>
    <t>2011-11-29 14:31:52</t>
  </si>
  <si>
    <t>540929xxx4x</t>
  </si>
  <si>
    <t>2011-11-29 14:42:50</t>
  </si>
  <si>
    <t>2005-11-11</t>
  </si>
  <si>
    <t>591017xxx2x</t>
  </si>
  <si>
    <t>2011-11-29 14:56:59</t>
  </si>
  <si>
    <t>1996-11-04</t>
  </si>
  <si>
    <t>500302xxx7x</t>
  </si>
  <si>
    <t>2011-11-29 17:08:00</t>
  </si>
  <si>
    <t>2011-03-02</t>
  </si>
  <si>
    <t>2011-11-30 08:55:52</t>
  </si>
  <si>
    <t>2011-11-30 11:58:08</t>
  </si>
  <si>
    <t>420225xxx6x</t>
  </si>
  <si>
    <t>2011-11-30 12:41:56</t>
  </si>
  <si>
    <t>2011-11-30 13:06:50</t>
  </si>
  <si>
    <t>900108xxx5x</t>
  </si>
  <si>
    <t>2011-11-30 13:39:15</t>
  </si>
  <si>
    <t>2011-11-30 14:10:05</t>
  </si>
  <si>
    <t>2011-11-30 14:27:44</t>
  </si>
  <si>
    <t>2011-11-30 14:53:42</t>
  </si>
  <si>
    <t>2011-11-30 15:05:07</t>
  </si>
  <si>
    <t>2011-11-30 15:38:50</t>
  </si>
  <si>
    <t>2011-11-30 15:48:25</t>
  </si>
  <si>
    <t>790325xxx0x</t>
  </si>
  <si>
    <t>2011-11-30 16:00:24</t>
  </si>
  <si>
    <t>2011-05-16</t>
  </si>
  <si>
    <t>2011-11-30 16:15:32</t>
  </si>
  <si>
    <t>2011-11-30 16:15:39</t>
  </si>
  <si>
    <t>2011-11-30 16:22:15</t>
  </si>
  <si>
    <t>2011-11-30 16:32:00</t>
  </si>
  <si>
    <t>2011-11-30 16:39:39</t>
  </si>
  <si>
    <t>900911xxx5x</t>
  </si>
  <si>
    <t>2011-11-30 16:55:17</t>
  </si>
  <si>
    <t>751222xxx1x</t>
  </si>
  <si>
    <t>2011-11-30 16:56:21</t>
  </si>
  <si>
    <t>2011-11-30 17:07:47</t>
  </si>
  <si>
    <t>2011-11-30 17:07:56</t>
  </si>
  <si>
    <t>2012-01-19 00:00:00</t>
  </si>
  <si>
    <t>2011-12-01 09:55:50</t>
  </si>
  <si>
    <t>460820xxx6x</t>
  </si>
  <si>
    <t>2011-12-01 10:08:54</t>
  </si>
  <si>
    <t>2011-12-01 10:28:15</t>
  </si>
  <si>
    <t>2011-12-01 11:04:40</t>
  </si>
  <si>
    <t>430529xxx3x</t>
  </si>
  <si>
    <t>2011-12-01 11:30:44</t>
  </si>
  <si>
    <t>2011-12-01 11:26:53</t>
  </si>
  <si>
    <t>2011-12-01 12:09:49</t>
  </si>
  <si>
    <t>2011-12-01 12:13:17</t>
  </si>
  <si>
    <t>2011-12-01 13:25:21</t>
  </si>
  <si>
    <t>700925xxx4x</t>
  </si>
  <si>
    <t>2011-12-01 14:48:03</t>
  </si>
  <si>
    <t>2002-08-01</t>
  </si>
  <si>
    <t>2011-12-02 09:06:35</t>
  </si>
  <si>
    <t>2012-01-02</t>
  </si>
  <si>
    <t>2011-12-02 09:23:27</t>
  </si>
  <si>
    <t>2012-01-12 00:00:00</t>
  </si>
  <si>
    <t>2011-12-02 09:37:06</t>
  </si>
  <si>
    <t>2012-09-28 00:00:00</t>
  </si>
  <si>
    <t>410226xxx9x</t>
  </si>
  <si>
    <t>2011-12-02 10:00:44</t>
  </si>
  <si>
    <t>2011-12-02 10:07:43</t>
  </si>
  <si>
    <t>2011-12-02 10:19:05</t>
  </si>
  <si>
    <t>360417xxx5x</t>
  </si>
  <si>
    <t>2011-12-02 10:40:46</t>
  </si>
  <si>
    <t>2000-04-01</t>
  </si>
  <si>
    <t>2012-01-25 00:00:00</t>
  </si>
  <si>
    <t>2011-12-02 11:56:04</t>
  </si>
  <si>
    <t>2011-12-02 12:12:20</t>
  </si>
  <si>
    <t>2011-12-02 13:08:42</t>
  </si>
  <si>
    <t>2011-12-02 13:56:26</t>
  </si>
  <si>
    <t>2011-12-02 14:32:57</t>
  </si>
  <si>
    <t>2011-12-02 15:04:33</t>
  </si>
  <si>
    <t>2011-12-02 15:39:51</t>
  </si>
  <si>
    <t>2011-12-02 16:11:24</t>
  </si>
  <si>
    <t>2011-12-02 16:13:47</t>
  </si>
  <si>
    <t>2011-12-02 16:46:59</t>
  </si>
  <si>
    <t>2011-12-03 09:47:09</t>
  </si>
  <si>
    <t>2011-12-03 11:02:34</t>
  </si>
  <si>
    <t>2011-12-03 11:30:22</t>
  </si>
  <si>
    <t>2011-12-03 11:36:53</t>
  </si>
  <si>
    <t>2012-09-24 00:00:00</t>
  </si>
  <si>
    <t>2011-12-03 12:04:28</t>
  </si>
  <si>
    <t>2011-12-03 12:11:57</t>
  </si>
  <si>
    <t>2011-12-05 08:59:34</t>
  </si>
  <si>
    <t>2012-01-04</t>
  </si>
  <si>
    <t>2011-12-05 10:33:51</t>
  </si>
  <si>
    <t>2011-12-05 10:45:13</t>
  </si>
  <si>
    <t>2011-12-05 11:08:30</t>
  </si>
  <si>
    <t>490502xxx6x</t>
  </si>
  <si>
    <t>2011-12-05 11:11:29</t>
  </si>
  <si>
    <t>2004-06-01</t>
  </si>
  <si>
    <t>2011-12-05 11:15:42</t>
  </si>
  <si>
    <t>2011-12-05 11:18:48</t>
  </si>
  <si>
    <t>2011-12-05 11:49:09</t>
  </si>
  <si>
    <t>2011-12-05 12:40:17</t>
  </si>
  <si>
    <t>2011-12-05 12:41:42</t>
  </si>
  <si>
    <t>2011-12-05 12:53:11</t>
  </si>
  <si>
    <t>2011-12-05 13:17:12</t>
  </si>
  <si>
    <t>2011-12-05 15:12:40</t>
  </si>
  <si>
    <t>2011-12-05 15:24:44</t>
  </si>
  <si>
    <t>2011-12-05 17:51:58</t>
  </si>
  <si>
    <t>2011-12-06 10:16:02</t>
  </si>
  <si>
    <t>2012-01-05</t>
  </si>
  <si>
    <t>2011-12-06 10:47:24</t>
  </si>
  <si>
    <t>2011-12-06 12:02:45</t>
  </si>
  <si>
    <t>2012-01-18 00:00:00</t>
  </si>
  <si>
    <t>2011-12-06 12:09:43</t>
  </si>
  <si>
    <t>2011-12-06 12:26:20</t>
  </si>
  <si>
    <t>930719xxx3x</t>
  </si>
  <si>
    <t>2011-12-06 13:55:22</t>
  </si>
  <si>
    <t>2011-08-09</t>
  </si>
  <si>
    <t>2011-12-06 14:12:18</t>
  </si>
  <si>
    <t>2011-12-06 16:05:17</t>
  </si>
  <si>
    <t>510821xxx8x</t>
  </si>
  <si>
    <t>2011-12-06 17:14:53</t>
  </si>
  <si>
    <t>2012-07-05 00:00:00</t>
  </si>
  <si>
    <t>2011-12-06 17:37:26</t>
  </si>
  <si>
    <t>2012-01-16 00:00:00</t>
  </si>
  <si>
    <t>520430xxx0x</t>
  </si>
  <si>
    <t>2011-12-07 10:21:30</t>
  </si>
  <si>
    <t>2012-01-07</t>
  </si>
  <si>
    <t>2011-12-07 10:20:00</t>
  </si>
  <si>
    <t>2011-12-07 11:39:07</t>
  </si>
  <si>
    <t>2011-12-07 11:43:18</t>
  </si>
  <si>
    <t>2011-12-07 12:51:27</t>
  </si>
  <si>
    <t>2011-12-07 13:18:00</t>
  </si>
  <si>
    <t>2011-12-07 13:45:44</t>
  </si>
  <si>
    <t>2011-12-07 14:33:33</t>
  </si>
  <si>
    <t>2011-12-07 15:16:38</t>
  </si>
  <si>
    <t>2012-01-14 00:00:00</t>
  </si>
  <si>
    <t>2011-12-07 16:20:51</t>
  </si>
  <si>
    <t>2011-12-07 16:57:42</t>
  </si>
  <si>
    <t>2011-12-08 10:40:22</t>
  </si>
  <si>
    <t>2011-12-08 10:43:37</t>
  </si>
  <si>
    <t>2011-12-08 12:02:34</t>
  </si>
  <si>
    <t>2011-12-08 12:37:54</t>
  </si>
  <si>
    <t>520307xxx4x</t>
  </si>
  <si>
    <t>2011-12-08 13:43:11</t>
  </si>
  <si>
    <t>2009-09-14</t>
  </si>
  <si>
    <t>2011-12-08 13:56:10</t>
  </si>
  <si>
    <t>2011-12-08 15:18:09</t>
  </si>
  <si>
    <t>511127xxx6x</t>
  </si>
  <si>
    <t>2011-12-08 16:18:12</t>
  </si>
  <si>
    <t>1983-05-01</t>
  </si>
  <si>
    <t>2011-12-08 16:18:28</t>
  </si>
  <si>
    <t>2011-12-08 16:26:17</t>
  </si>
  <si>
    <t>2011-12-08 16:32:16</t>
  </si>
  <si>
    <t>2012-09-07 00:00:00</t>
  </si>
  <si>
    <t>2011-12-08 17:30:08</t>
  </si>
  <si>
    <t>2011-12-09 10:03:31</t>
  </si>
  <si>
    <t>2012-01-09</t>
  </si>
  <si>
    <t>2011-12-09 10:33:05</t>
  </si>
  <si>
    <t>2011-12-09 11:20:29</t>
  </si>
  <si>
    <t>2011-12-09 11:16:20</t>
  </si>
  <si>
    <t>2011-12-09 11:45:03</t>
  </si>
  <si>
    <t>2011-12-09 11:58:42</t>
  </si>
  <si>
    <t>490101xxx6x</t>
  </si>
  <si>
    <t>2011-12-09 12:12:05</t>
  </si>
  <si>
    <t>2011-12-09 12:14:28</t>
  </si>
  <si>
    <t>2011-12-09 12:26:34</t>
  </si>
  <si>
    <t>2011-12-09 13:03:11</t>
  </si>
  <si>
    <t>2011-12-09 13:24:41</t>
  </si>
  <si>
    <t>2011-12-09 13:25:07</t>
  </si>
  <si>
    <t>2011-12-09 14:00:15</t>
  </si>
  <si>
    <t>2011-12-09 15:28:07</t>
  </si>
  <si>
    <t>2011-12-09 15:30:32</t>
  </si>
  <si>
    <t>571026xxx5x</t>
  </si>
  <si>
    <t>2011-12-09 16:41:12</t>
  </si>
  <si>
    <t>2011-12-09 17:06:06</t>
  </si>
  <si>
    <t>711226xxx2x</t>
  </si>
  <si>
    <t>2011-12-09 17:15:32</t>
  </si>
  <si>
    <t>2010-09-06</t>
  </si>
  <si>
    <t>2011-12-09 17:48:05</t>
  </si>
  <si>
    <t>2011-12-09 17:58:31</t>
  </si>
  <si>
    <t>2011-12-10 09:03:02</t>
  </si>
  <si>
    <t>2012-01-17 00:00:00</t>
  </si>
  <si>
    <t>2011-12-10 09:23:47</t>
  </si>
  <si>
    <t>2011-12-10 09:28:57</t>
  </si>
  <si>
    <t>2011-12-10 10:01:17</t>
  </si>
  <si>
    <t>2011-12-10 10:42:24</t>
  </si>
  <si>
    <t>2011-12-10 10:49:27</t>
  </si>
  <si>
    <t>2011-12-10 11:19:36</t>
  </si>
  <si>
    <t>700801xxx7x</t>
  </si>
  <si>
    <t>2011-12-10 11:46:30</t>
  </si>
  <si>
    <t>2012-08-09 00:00:00</t>
  </si>
  <si>
    <t>2011-12-10 11:35:54</t>
  </si>
  <si>
    <t>2011-12-10 12:00:20</t>
  </si>
  <si>
    <t>2011-12-10 12:12:20</t>
  </si>
  <si>
    <t>2011-12-10 12:35:01</t>
  </si>
  <si>
    <t>2011-12-10 12:45:06</t>
  </si>
  <si>
    <t>2011-12-12 09:10:32</t>
  </si>
  <si>
    <t>2012-01-11</t>
  </si>
  <si>
    <t>2011-12-12 09:25:10</t>
  </si>
  <si>
    <t>2011-12-12 10:04:55</t>
  </si>
  <si>
    <t>2011-12-12 10:11:06</t>
  </si>
  <si>
    <t>2011-12-12 10:43:39</t>
  </si>
  <si>
    <t>360306xxx6x</t>
  </si>
  <si>
    <t>2011-12-12 10:59:25</t>
  </si>
  <si>
    <t>1991-12-01</t>
  </si>
  <si>
    <t>2011-12-12 11:22:37</t>
  </si>
  <si>
    <t>2011-12-12 11:24:36</t>
  </si>
  <si>
    <t>340104xxx1x</t>
  </si>
  <si>
    <t>2011-12-12 12:18:15</t>
  </si>
  <si>
    <t>1995-11-09</t>
  </si>
  <si>
    <t>2011-12-12 12:56:53</t>
  </si>
  <si>
    <t>2011-12-12 13:07:26</t>
  </si>
  <si>
    <t>2012-01-13 00:00:00</t>
  </si>
  <si>
    <t>2011-12-12 13:09:09</t>
  </si>
  <si>
    <t>2011-12-12 13:18:54</t>
  </si>
  <si>
    <t>2011-12-12 15:10:52</t>
  </si>
  <si>
    <t>2011-12-12 15:19:28</t>
  </si>
  <si>
    <t>2012-10-31 00:00:00</t>
  </si>
  <si>
    <t>2011-12-12 15:41:01</t>
  </si>
  <si>
    <t>801229xxx5x</t>
  </si>
  <si>
    <t>2011-12-12 16:30:55</t>
  </si>
  <si>
    <t>2011-05-09</t>
  </si>
  <si>
    <t>2011-12-12 17:43:17</t>
  </si>
  <si>
    <t>630913xxx8x</t>
  </si>
  <si>
    <t>2011-12-13 09:10:23</t>
  </si>
  <si>
    <t>2011-12-13 11:33:23</t>
  </si>
  <si>
    <t>2012-01-12</t>
  </si>
  <si>
    <t>391115xxx6x</t>
  </si>
  <si>
    <t>2011-12-13 12:46:55</t>
  </si>
  <si>
    <t>2001-03-11</t>
  </si>
  <si>
    <t>820306xxx6x</t>
  </si>
  <si>
    <t>2011-12-13 13:22:41</t>
  </si>
  <si>
    <t>2011-12-13 13:46:06</t>
  </si>
  <si>
    <t>2011-12-13 14:42:08</t>
  </si>
  <si>
    <t>2011-12-13 14:48:35</t>
  </si>
  <si>
    <t>2011-12-13 15:35:55</t>
  </si>
  <si>
    <t>2011-12-14 09:35:16</t>
  </si>
  <si>
    <t>2011-12-14 10:30:48</t>
  </si>
  <si>
    <t>2011-12-14 10:42:44</t>
  </si>
  <si>
    <t>2011-12-14 11:00:58</t>
  </si>
  <si>
    <t>2011-12-14 12:31:04</t>
  </si>
  <si>
    <t>2012-01-27 00:00:00</t>
  </si>
  <si>
    <t>541009xxx7x</t>
  </si>
  <si>
    <t>2011-12-14 13:29:10</t>
  </si>
  <si>
    <t>2013-11-30</t>
  </si>
  <si>
    <t>2011-12-14 13:31:59</t>
  </si>
  <si>
    <t>611122xxx1x</t>
  </si>
  <si>
    <t>2011-12-14 13:34:59</t>
  </si>
  <si>
    <t>1990-10-01</t>
  </si>
  <si>
    <t>2011-12-14 14:13:46</t>
  </si>
  <si>
    <t>381222xxx6x</t>
  </si>
  <si>
    <t>2011-12-14 14:26:05</t>
  </si>
  <si>
    <t>1994-10-07</t>
  </si>
  <si>
    <t>2011-12-14 15:20:09</t>
  </si>
  <si>
    <t>2011-12-14 15:46:17</t>
  </si>
  <si>
    <t>2011-12-14 16:00:21</t>
  </si>
  <si>
    <t>2011-12-14 16:07:56</t>
  </si>
  <si>
    <t>2011-12-14 16:09:07</t>
  </si>
  <si>
    <t>2012-01-21 00:00:00</t>
  </si>
  <si>
    <t>2011-12-15 09:49:44</t>
  </si>
  <si>
    <t>2012-01-14</t>
  </si>
  <si>
    <t>2011-12-15 10:18:15</t>
  </si>
  <si>
    <t>2011-12-15 10:29:35</t>
  </si>
  <si>
    <t>2011-12-15 10:31:00</t>
  </si>
  <si>
    <t>2011-12-15 10:47:42</t>
  </si>
  <si>
    <t>2011-12-15 11:02:19</t>
  </si>
  <si>
    <t>661210xxx9x</t>
  </si>
  <si>
    <t>2011-12-15 11:10:51</t>
  </si>
  <si>
    <t>2001-05-04</t>
  </si>
  <si>
    <t>2015-04-30</t>
  </si>
  <si>
    <t>2011-12-15 11:15:58</t>
  </si>
  <si>
    <t>2012-01-24 00:00:00</t>
  </si>
  <si>
    <t>2011-12-15 11:18:48</t>
  </si>
  <si>
    <t>2011-12-15 14:07:09</t>
  </si>
  <si>
    <t>2011-12-15 14:34:37</t>
  </si>
  <si>
    <t>2012-01-28 00:00:00</t>
  </si>
  <si>
    <t>2011-12-15 15:13:24</t>
  </si>
  <si>
    <t>2011-12-15 16:07:18</t>
  </si>
  <si>
    <t>2011-12-15 16:31:43</t>
  </si>
  <si>
    <t>2011-12-16 08:57:30</t>
  </si>
  <si>
    <t>2012-01-16</t>
  </si>
  <si>
    <t>360222xxx2x</t>
  </si>
  <si>
    <t>2011-12-16 09:19:19</t>
  </si>
  <si>
    <t>1990-12-01</t>
  </si>
  <si>
    <t>2011-12-16 09:51:05</t>
  </si>
  <si>
    <t>2011-12-16 10:45:02</t>
  </si>
  <si>
    <t>2011-12-16 11:41:23</t>
  </si>
  <si>
    <t>2011-12-16 12:29:44</t>
  </si>
  <si>
    <t>570127xxx7x</t>
  </si>
  <si>
    <t>2011-12-16 15:14:26</t>
  </si>
  <si>
    <t>2008-12-01</t>
  </si>
  <si>
    <t>2012-01-20 00:00:00</t>
  </si>
  <si>
    <t>2011-12-16 15:11:02</t>
  </si>
  <si>
    <t>2012-01-30 00:00:00</t>
  </si>
  <si>
    <t>2011-12-16 16:16:24</t>
  </si>
  <si>
    <t>2011-12-16 17:41:39</t>
  </si>
  <si>
    <t>540825xxx1x</t>
  </si>
  <si>
    <t>2011-12-17 10:19:47</t>
  </si>
  <si>
    <t>1998-05-28</t>
  </si>
  <si>
    <t>2011-12-17 11:41:05</t>
  </si>
  <si>
    <t>530426xxx3x</t>
  </si>
  <si>
    <t>2011-12-17 12:09:45</t>
  </si>
  <si>
    <t>1990-11-01</t>
  </si>
  <si>
    <t>2011-12-17 13:09:47</t>
  </si>
  <si>
    <t>2011-12-17 13:34:27</t>
  </si>
  <si>
    <t>500214xxx8x</t>
  </si>
  <si>
    <t>2011-12-19 12:56:29</t>
  </si>
  <si>
    <t>2011-12-19 14:55:34</t>
  </si>
  <si>
    <t>2012-01-18</t>
  </si>
  <si>
    <t>2011-12-19 15:12:12</t>
  </si>
  <si>
    <t>850715xxx8x</t>
  </si>
  <si>
    <t>2011-12-19 15:32:12</t>
  </si>
  <si>
    <t>2011-12-19 15:38:45</t>
  </si>
  <si>
    <t>2011-12-19 15:52:52</t>
  </si>
  <si>
    <t>2011-12-19 16:08:49</t>
  </si>
  <si>
    <t>501221xxx0x</t>
  </si>
  <si>
    <t>2011-12-20 10:55:54</t>
  </si>
  <si>
    <t>1998-12-01</t>
  </si>
  <si>
    <t>2011-12-20 10:52:33</t>
  </si>
  <si>
    <t>2012-01-19</t>
  </si>
  <si>
    <t>2011-12-20 11:58:17</t>
  </si>
  <si>
    <t>2012-01-26 00:00:00</t>
  </si>
  <si>
    <t>2011-12-20 11:59:27</t>
  </si>
  <si>
    <t>2011-12-20 12:14:34</t>
  </si>
  <si>
    <t>2012-10-30 00:00:00</t>
  </si>
  <si>
    <t>540122xxx9x</t>
  </si>
  <si>
    <t>2011-12-20 15:47:42</t>
  </si>
  <si>
    <t>2000-12-01</t>
  </si>
  <si>
    <t>2012-01-31 00:00:00</t>
  </si>
  <si>
    <t>2011-12-20 12:54:52</t>
  </si>
  <si>
    <t>2011-12-20 13:09:01</t>
  </si>
  <si>
    <t>2011-12-20 13:18:41</t>
  </si>
  <si>
    <t>2011-12-20 13:23:56</t>
  </si>
  <si>
    <t>2011-12-20 13:28:28</t>
  </si>
  <si>
    <t>521027xxx4x</t>
  </si>
  <si>
    <t>2011-12-20 14:45:32</t>
  </si>
  <si>
    <t>2013-12-01</t>
  </si>
  <si>
    <t>750821xxx6x</t>
  </si>
  <si>
    <t>2011-12-20 14:48:40</t>
  </si>
  <si>
    <t>2008-12-18</t>
  </si>
  <si>
    <t>2012-01-23 00:00:00</t>
  </si>
  <si>
    <t>2011-12-20 14:40:54</t>
  </si>
  <si>
    <t>2011-12-20 14:49:05</t>
  </si>
  <si>
    <t>2011-12-20 15:13:46</t>
  </si>
  <si>
    <t>2011-12-20 16:00:09</t>
  </si>
  <si>
    <t>2011-12-20 16:13:14</t>
  </si>
  <si>
    <t>2011-12-20 16:11:50</t>
  </si>
  <si>
    <t>2011-12-20 16:45:19</t>
  </si>
  <si>
    <t>2011-12-20 17:52:13</t>
  </si>
  <si>
    <t>2011-12-21 09:10:32</t>
  </si>
  <si>
    <t>2012-01-20</t>
  </si>
  <si>
    <t>2011-12-21 09:57:31</t>
  </si>
  <si>
    <t>2011-12-21 10:17:26</t>
  </si>
  <si>
    <t>2012-02-02 00:00:00</t>
  </si>
  <si>
    <t>2011-12-21 10:22:05</t>
  </si>
  <si>
    <t>2011-12-21 12:12:51</t>
  </si>
  <si>
    <t>2011-12-21 12:37:50</t>
  </si>
  <si>
    <t>2011-12-21 13:11:28</t>
  </si>
  <si>
    <t>2012-02-01</t>
  </si>
  <si>
    <t>2011-12-21 13:50:40</t>
  </si>
  <si>
    <t>651215xxx7x</t>
  </si>
  <si>
    <t>2011-12-21 15:20:56</t>
  </si>
  <si>
    <t>2010-06-01</t>
  </si>
  <si>
    <t>2011-12-21 16:35:29</t>
  </si>
  <si>
    <t>620623xxx2x</t>
  </si>
  <si>
    <t>2011-12-21 17:04:12</t>
  </si>
  <si>
    <t>2006-06-04</t>
  </si>
  <si>
    <t>2011-12-22 09:18:31</t>
  </si>
  <si>
    <t>2012-01-21</t>
  </si>
  <si>
    <t>2011-12-22 10:03:42</t>
  </si>
  <si>
    <t>2011-12-22 10:18:26</t>
  </si>
  <si>
    <t>2011-12-22 10:33:03</t>
  </si>
  <si>
    <t>2011-12-22 10:50:04</t>
  </si>
  <si>
    <t>2011-12-22 11:20:15</t>
  </si>
  <si>
    <t>2012-11-14 00:00:00</t>
  </si>
  <si>
    <t>2011-12-22 11:24:14</t>
  </si>
  <si>
    <t>660119xxx7x</t>
  </si>
  <si>
    <t>2011-12-22 11:36:57</t>
  </si>
  <si>
    <t>741118xxx8x</t>
  </si>
  <si>
    <t>2011-12-22 11:40:41</t>
  </si>
  <si>
    <t>2010-01-01</t>
  </si>
  <si>
    <t>910523xxx9x</t>
  </si>
  <si>
    <t>2011-12-22 12:06:33</t>
  </si>
  <si>
    <t>2014-12-31</t>
  </si>
  <si>
    <t>2011-12-22 12:53:13</t>
  </si>
  <si>
    <t>531210xxx8x</t>
  </si>
  <si>
    <t>2011-12-22 13:11:18</t>
  </si>
  <si>
    <t>2007-12-01</t>
  </si>
  <si>
    <t>2011-12-22 14:04:51</t>
  </si>
  <si>
    <t>860307xxx6x</t>
  </si>
  <si>
    <t>2011-12-22 14:16:52</t>
  </si>
  <si>
    <t>2007-06-06</t>
  </si>
  <si>
    <t>2012-09-20 00:00:00</t>
  </si>
  <si>
    <t>2011-12-22 14:21:43</t>
  </si>
  <si>
    <t>2011-12-22 14:23:10</t>
  </si>
  <si>
    <t>460413xxx0x</t>
  </si>
  <si>
    <t>2011-12-22 15:13:04</t>
  </si>
  <si>
    <t>2001-12-01</t>
  </si>
  <si>
    <t>2011-12-22 15:42:53</t>
  </si>
  <si>
    <t>2011-12-22 15:47:03</t>
  </si>
  <si>
    <t>2011-12-22 16:04:54</t>
  </si>
  <si>
    <t>2011-12-22 17:00:28</t>
  </si>
  <si>
    <t>2011-12-23 08:49:27</t>
  </si>
  <si>
    <t>2012-03-15</t>
  </si>
  <si>
    <t>2012-01-23</t>
  </si>
  <si>
    <t>2011-12-23 09:17:02</t>
  </si>
  <si>
    <t>2011-12-23 09:24:17</t>
  </si>
  <si>
    <t>2012-02-06 00:00:00</t>
  </si>
  <si>
    <t>520417xxx4x</t>
  </si>
  <si>
    <t>2011-12-23 09:49:19</t>
  </si>
  <si>
    <t>2011-12-23 10:12:07</t>
  </si>
  <si>
    <t>531115xxx6x</t>
  </si>
  <si>
    <t>2011-12-23 10:20:47</t>
  </si>
  <si>
    <t>2011-12-23 11:03:31</t>
  </si>
  <si>
    <t>2011-12-23 11:21:07</t>
  </si>
  <si>
    <t>2011-12-23 12:50:56</t>
  </si>
  <si>
    <t>2011-12-23 13:20:53</t>
  </si>
  <si>
    <t>2011-12-23 14:04:34</t>
  </si>
  <si>
    <t>2011-12-23 14:32:50</t>
  </si>
  <si>
    <t>2011-12-23 14:44:04</t>
  </si>
  <si>
    <t>2011-12-23 14:50:35</t>
  </si>
  <si>
    <t>2011-12-23 15:14:05</t>
  </si>
  <si>
    <t>2011-12-23 16:49:21</t>
  </si>
  <si>
    <t>761020xxx9x</t>
  </si>
  <si>
    <t>2011-12-23 18:04:20</t>
  </si>
  <si>
    <t>501030xxx6x</t>
  </si>
  <si>
    <t>2011-12-27 09:12:56</t>
  </si>
  <si>
    <t>2010-09-30</t>
  </si>
  <si>
    <t>2012-01-26</t>
  </si>
  <si>
    <t>2011-12-27 09:11:24</t>
  </si>
  <si>
    <t>2011-12-27 09:43:49</t>
  </si>
  <si>
    <t>2011-12-27 10:21:18</t>
  </si>
  <si>
    <t>2011-12-27 10:43:17</t>
  </si>
  <si>
    <t>2011-12-27 10:50:54</t>
  </si>
  <si>
    <t>2011-12-27 11:06:26</t>
  </si>
  <si>
    <t>2011-12-27 11:51:18</t>
  </si>
  <si>
    <t>2011-12-27 11:56:48</t>
  </si>
  <si>
    <t>550315xxx3x</t>
  </si>
  <si>
    <t>2011-12-27 12:16:58</t>
  </si>
  <si>
    <t>2002-09-06</t>
  </si>
  <si>
    <t>2011-12-27 12:30:45</t>
  </si>
  <si>
    <t>2011-12-27 12:34:24</t>
  </si>
  <si>
    <t>2011-12-27 13:04:32</t>
  </si>
  <si>
    <t>2011-12-27 14:30:27</t>
  </si>
  <si>
    <t>881106xxx3x</t>
  </si>
  <si>
    <t>2011-12-27 14:45:33</t>
  </si>
  <si>
    <t>2011-12-27 15:58:16</t>
  </si>
  <si>
    <t>2011-12-27 16:16:20</t>
  </si>
  <si>
    <t>2011-12-27 17:14:07</t>
  </si>
  <si>
    <t>2011-12-27 17:14:18</t>
  </si>
  <si>
    <t>520914xxx6x</t>
  </si>
  <si>
    <t>2011-12-28 09:33:36</t>
  </si>
  <si>
    <t>2012-01-27</t>
  </si>
  <si>
    <t>811005xxx9x</t>
  </si>
  <si>
    <t>2011-12-28 09:45:33</t>
  </si>
  <si>
    <t>2010-05-24</t>
  </si>
  <si>
    <t>2013-07-19</t>
  </si>
  <si>
    <t>2011-12-28 10:14:19</t>
  </si>
  <si>
    <t>491029xxx1x</t>
  </si>
  <si>
    <t>2011-12-28 10:48:19</t>
  </si>
  <si>
    <t>2011-12-28 10:53:20</t>
  </si>
  <si>
    <t>2011-12-28 11:33:29</t>
  </si>
  <si>
    <t>610802xxx7x</t>
  </si>
  <si>
    <t>2011-12-28 12:37:25</t>
  </si>
  <si>
    <t>2011-10-15</t>
  </si>
  <si>
    <t>2012-10-15</t>
  </si>
  <si>
    <t>2011-12-28 14:12:32</t>
  </si>
  <si>
    <t>2012-12-01</t>
  </si>
  <si>
    <t>2011-12-28 15:16:09</t>
  </si>
  <si>
    <t>560507xxx4x</t>
  </si>
  <si>
    <t>2011-12-28 15:56:21</t>
  </si>
  <si>
    <t>2011-12-29 08:51:24</t>
  </si>
  <si>
    <t>2012-12-28</t>
  </si>
  <si>
    <t>2012-01-28</t>
  </si>
  <si>
    <t>2011-12-29 09:39:55</t>
  </si>
  <si>
    <t>2011-12-29 10:03:00</t>
  </si>
  <si>
    <t>2011-12-29 11:27:10</t>
  </si>
  <si>
    <t>2011-12-29 11:37:09</t>
  </si>
  <si>
    <t>2011-12-29 13:47:25</t>
  </si>
  <si>
    <t>2011-12-29 14:28:59</t>
  </si>
  <si>
    <t>2011-12-29 14:32:27</t>
  </si>
  <si>
    <t>541119xxx3x</t>
  </si>
  <si>
    <t>2011-12-29 15:24:41</t>
  </si>
  <si>
    <t>2009-04-14</t>
  </si>
  <si>
    <t>2011-12-29 15:38:47</t>
  </si>
  <si>
    <t>2011-12-29 16:57:11</t>
  </si>
  <si>
    <t>2012-03-26 00:00:00</t>
  </si>
  <si>
    <t>2011-12-29 17:08:07</t>
  </si>
  <si>
    <t>2011-12-29 17:15:50</t>
  </si>
  <si>
    <t>2011-12-30 10:16:58</t>
  </si>
  <si>
    <t>2012-01-30</t>
  </si>
  <si>
    <t>2011-12-30 10:44:36</t>
  </si>
  <si>
    <t>2011-12-30 10:52:12</t>
  </si>
  <si>
    <t>2012-05-28 00:00:00</t>
  </si>
  <si>
    <t>2011-12-30 11:00:32</t>
  </si>
  <si>
    <t>2011-12-30 11:04:29</t>
  </si>
  <si>
    <t>2011-12-30 11:37:03</t>
  </si>
  <si>
    <t>2011-12-30 11:37:15</t>
  </si>
  <si>
    <t>2011-12-30 11:41:36</t>
  </si>
  <si>
    <t>2012-02-03 00:00:00</t>
  </si>
  <si>
    <t>2011-12-30 11:44:47</t>
  </si>
  <si>
    <t>2012-01-15</t>
  </si>
  <si>
    <t>2011-12-30 12:46:18</t>
  </si>
  <si>
    <t>2012-02-10 00:00:00</t>
  </si>
  <si>
    <t>500102xxx8x</t>
  </si>
  <si>
    <t>2011-12-30 13:25:43</t>
  </si>
  <si>
    <t>2011-12-30 13:20:20</t>
  </si>
  <si>
    <t>2011-12-30 13:55:50</t>
  </si>
  <si>
    <t>2011-12-30 13:56:12</t>
  </si>
  <si>
    <t>2011-12-30 14:01:04</t>
  </si>
  <si>
    <t>2011-12-30 15:06:21</t>
  </si>
  <si>
    <t>2011-12-30 15:11:06</t>
  </si>
  <si>
    <t>2011-12-30 15:20:46</t>
  </si>
  <si>
    <t>2012-12-22</t>
  </si>
  <si>
    <t>2011-12-30 15:21:00</t>
  </si>
  <si>
    <t>2011-12-30 15:24:42</t>
  </si>
  <si>
    <t>2011-12-30 15:28:51</t>
  </si>
  <si>
    <t>2011-12-30 15:43:10</t>
  </si>
  <si>
    <t>2011-12-30 16:17:40</t>
  </si>
  <si>
    <t>2011-12-30 17:53:41</t>
  </si>
  <si>
    <t>2012-01-02 09:04:29</t>
  </si>
  <si>
    <t>2012-01-02 09:31:24</t>
  </si>
  <si>
    <t>2012-01-02 10:06:34</t>
  </si>
  <si>
    <t>2012-01-02 10:08:00</t>
  </si>
  <si>
    <t>2012-01-02 10:10:45</t>
  </si>
  <si>
    <t>2012-01-02 10:42:10</t>
  </si>
  <si>
    <t>2012-01-02 12:10:21</t>
  </si>
  <si>
    <t>2012-01-02 12:16:10</t>
  </si>
  <si>
    <t>2012-01-02 12:16:32</t>
  </si>
  <si>
    <t>2012-01-02 13:03:23</t>
  </si>
  <si>
    <t>2012-01-02 13:18:34</t>
  </si>
  <si>
    <t>2012-02-08 00:00:00</t>
  </si>
  <si>
    <t>2012-01-02 14:01:20</t>
  </si>
  <si>
    <t>2012-01-02 16:42:10</t>
  </si>
  <si>
    <t>2012-01-02 17:08:37</t>
  </si>
  <si>
    <t>2012-02-09 00:00:00</t>
  </si>
  <si>
    <t>771222xxx8x</t>
  </si>
  <si>
    <t>2012-01-03 10:39:31</t>
  </si>
  <si>
    <t>1992-09-01</t>
  </si>
  <si>
    <t>2012-01-03 11:13:14</t>
  </si>
  <si>
    <t>2012-02-02</t>
  </si>
  <si>
    <t>470120xxx8x</t>
  </si>
  <si>
    <t>2012-01-03 11:35:54</t>
  </si>
  <si>
    <t>2012-01-03 11:36:45</t>
  </si>
  <si>
    <t>2012-01-03 12:13:07</t>
  </si>
  <si>
    <t>2012-01-03 12:45:19</t>
  </si>
  <si>
    <t>550801xxx0x</t>
  </si>
  <si>
    <t>2012-01-03 15:09:32</t>
  </si>
  <si>
    <t>2000-09-01</t>
  </si>
  <si>
    <t>2012-01-03 16:18:45</t>
  </si>
  <si>
    <t>2012-01-04 08:51:56</t>
  </si>
  <si>
    <t>2012-02-03</t>
  </si>
  <si>
    <t>2012-01-04 09:36:43</t>
  </si>
  <si>
    <t>2012-01-04 10:04:19</t>
  </si>
  <si>
    <t>2012-01-04 10:11:57</t>
  </si>
  <si>
    <t>2012-01-04 10:46:17</t>
  </si>
  <si>
    <t>2012-02-04 00:00:00</t>
  </si>
  <si>
    <t>2012-01-04 11:25:55</t>
  </si>
  <si>
    <t>2012-01-04 12:35:21</t>
  </si>
  <si>
    <t>850512xxx7x</t>
  </si>
  <si>
    <t>2012-01-04 13:32:24</t>
  </si>
  <si>
    <t>2008-05-12</t>
  </si>
  <si>
    <t>2012-01-04 13:29:50</t>
  </si>
  <si>
    <t>2012-01-04 14:07:26</t>
  </si>
  <si>
    <t>2012-01-04 14:35:14</t>
  </si>
  <si>
    <t>2012-01-04 15:40:59</t>
  </si>
  <si>
    <t>2012-12-30</t>
  </si>
  <si>
    <t>810426xxx1x</t>
  </si>
  <si>
    <t>2012-01-04 15:56:58</t>
  </si>
  <si>
    <t>2007-06-01</t>
  </si>
  <si>
    <t>2016-05-31</t>
  </si>
  <si>
    <t>880102xxx4x</t>
  </si>
  <si>
    <t>2012-01-04 16:31:54</t>
  </si>
  <si>
    <t>2011-07-04</t>
  </si>
  <si>
    <t>2013-01-04</t>
  </si>
  <si>
    <t>2012-01-04 17:14:38</t>
  </si>
  <si>
    <t>2012-01-05 09:02:32</t>
  </si>
  <si>
    <t>2012-02-04</t>
  </si>
  <si>
    <t>2012-01-05 09:28:41</t>
  </si>
  <si>
    <t>2012-01-05 09:59:35</t>
  </si>
  <si>
    <t>2012-01-05 10:51:19</t>
  </si>
  <si>
    <t>2012-01-05 11:52:20</t>
  </si>
  <si>
    <t>2012-01-05 12:04:58</t>
  </si>
  <si>
    <t>690213xxx3x</t>
  </si>
  <si>
    <t>2012-01-05 13:09:58</t>
  </si>
  <si>
    <t>2012-01-05 14:43:08</t>
  </si>
  <si>
    <t>670909xxx1x</t>
  </si>
  <si>
    <t>2012-01-05 15:51:09</t>
  </si>
  <si>
    <t>1995-01-05</t>
  </si>
  <si>
    <t>400311xxx1x</t>
  </si>
  <si>
    <t>2012-01-05 16:18:39</t>
  </si>
  <si>
    <t>2012-01-05 16:17:02</t>
  </si>
  <si>
    <t>560416xxx2x</t>
  </si>
  <si>
    <t>2012-01-05 16:32:17</t>
  </si>
  <si>
    <t>2012-01-05 17:28:54</t>
  </si>
  <si>
    <t>2012-01-09 09:10:06</t>
  </si>
  <si>
    <t>2012-02-08</t>
  </si>
  <si>
    <t>430201xxx2x</t>
  </si>
  <si>
    <t>2012-01-09 09:31:57</t>
  </si>
  <si>
    <t>2012-01-09 09:51:57</t>
  </si>
  <si>
    <t>2012-02-17 00:00:00</t>
  </si>
  <si>
    <t>2012-01-09 10:02:19</t>
  </si>
  <si>
    <t>2012-01-09 10:15:03</t>
  </si>
  <si>
    <t>2012-01-09 10:36:17</t>
  </si>
  <si>
    <t>2012-01-09 10:43:02</t>
  </si>
  <si>
    <t>2012-02-13 00:00:00</t>
  </si>
  <si>
    <t>2012-01-09 10:55:11</t>
  </si>
  <si>
    <t>480226xxx5x</t>
  </si>
  <si>
    <t>2012-01-09 11:29:41</t>
  </si>
  <si>
    <t>510517xxx1x</t>
  </si>
  <si>
    <t>2012-01-09 12:38:16</t>
  </si>
  <si>
    <t>1993-01-01</t>
  </si>
  <si>
    <t>2012-01-09 12:40:07</t>
  </si>
  <si>
    <t>2012-02-16 00:00:00</t>
  </si>
  <si>
    <t>2012-01-09 12:55:06</t>
  </si>
  <si>
    <t>2012-02-11 00:00:00</t>
  </si>
  <si>
    <t>2012-01-09 13:02:34</t>
  </si>
  <si>
    <t>2012-01-09 13:15:33</t>
  </si>
  <si>
    <t>2012-01-09 13:24:47</t>
  </si>
  <si>
    <t>2012-01-09 13:42:40</t>
  </si>
  <si>
    <t>2012-01-09 13:52:24</t>
  </si>
  <si>
    <t>411112xxx8x</t>
  </si>
  <si>
    <t>2012-01-09 14:02:14</t>
  </si>
  <si>
    <t>460817xxx4x</t>
  </si>
  <si>
    <t>2012-01-09 14:36:38</t>
  </si>
  <si>
    <t>2012-01-09 14:28:39</t>
  </si>
  <si>
    <t>2012-01-09 14:42:30</t>
  </si>
  <si>
    <t>2012-01-09 14:51:16</t>
  </si>
  <si>
    <t>2012-01-09 14:53:49</t>
  </si>
  <si>
    <t>2012-01-09 15:08:10</t>
  </si>
  <si>
    <t>2012-01-09 15:58:26</t>
  </si>
  <si>
    <t>2012-01-09 16:54:10</t>
  </si>
  <si>
    <t>2012-01-10 09:00:53</t>
  </si>
  <si>
    <t>2012-02-09</t>
  </si>
  <si>
    <t>2012-02-21 00:00:00</t>
  </si>
  <si>
    <t>2012-01-10 09:57:45</t>
  </si>
  <si>
    <t>2012-01-10 10:08:01</t>
  </si>
  <si>
    <t>2012-01-10 10:13:35</t>
  </si>
  <si>
    <t>2012-01-10 10:28:21</t>
  </si>
  <si>
    <t>2012-01-10 10:39:13</t>
  </si>
  <si>
    <t>2012-01-10 11:04:18</t>
  </si>
  <si>
    <t>2012-01-10 11:36:05</t>
  </si>
  <si>
    <t>2012-01-10 13:14:16</t>
  </si>
  <si>
    <t>2012-01-10 13:18:15</t>
  </si>
  <si>
    <t>2012-01-10 14:03:25</t>
  </si>
  <si>
    <t>2012-01-10 14:03:49</t>
  </si>
  <si>
    <t>2012-01-10 14:20:36</t>
  </si>
  <si>
    <t>2012-01-10 14:40:17</t>
  </si>
  <si>
    <t>2012-01-10 15:27:14</t>
  </si>
  <si>
    <t>2012-01-10 15:40:41</t>
  </si>
  <si>
    <t>2012-01-10 15:50:47</t>
  </si>
  <si>
    <t>2012-12-31</t>
  </si>
  <si>
    <t>2012-01-10 16:13:05</t>
  </si>
  <si>
    <t>2012-02-14 00:00:00</t>
  </si>
  <si>
    <t>2012-01-10 16:38:09</t>
  </si>
  <si>
    <t>2012-01-10 16:53:28</t>
  </si>
  <si>
    <t>2012-01-10 17:22:37</t>
  </si>
  <si>
    <t>2012-01-10 17:35:05</t>
  </si>
  <si>
    <t>2012-08-30 00:00:00</t>
  </si>
  <si>
    <t>2012-01-10 18:00:25</t>
  </si>
  <si>
    <t>2012-01-11 09:06:01</t>
  </si>
  <si>
    <t>2012-02-10</t>
  </si>
  <si>
    <t>2012-02-24 00:00:00</t>
  </si>
  <si>
    <t>2012-01-11 10:35:27</t>
  </si>
  <si>
    <t>2012-01-11 11:55:04</t>
  </si>
  <si>
    <t>2012-01-11 12:17:30</t>
  </si>
  <si>
    <t>2012-01-11 14:02:50</t>
  </si>
  <si>
    <t>890404xxx1x</t>
  </si>
  <si>
    <t>2012-01-11 14:33:37</t>
  </si>
  <si>
    <t>2012-01-11 14:42:15</t>
  </si>
  <si>
    <t>2012-01-11 14:50:09</t>
  </si>
  <si>
    <t>2012-01-11 15:30:52</t>
  </si>
  <si>
    <t>2012-01-11 15:57:41</t>
  </si>
  <si>
    <t>2012-02-15 00:00:00</t>
  </si>
  <si>
    <t>2012-01-11 16:00:31</t>
  </si>
  <si>
    <t>2012-01-11 16:29:21</t>
  </si>
  <si>
    <t>2012-03-16 00:00:00</t>
  </si>
  <si>
    <t>2012-01-11 17:19:26</t>
  </si>
  <si>
    <t>2012-01-12 09:42:31</t>
  </si>
  <si>
    <t>2012-02-11</t>
  </si>
  <si>
    <t>750703xxx2x</t>
  </si>
  <si>
    <t>2012-01-12 10:35:46</t>
  </si>
  <si>
    <t>2012-01-12 10:41:23</t>
  </si>
  <si>
    <t>2012-01-12 11:53:51</t>
  </si>
  <si>
    <t>780724xxx8x</t>
  </si>
  <si>
    <t>2012-01-12 12:00:36</t>
  </si>
  <si>
    <t>2011-11-02</t>
  </si>
  <si>
    <t>2012-01-12 11:58:03</t>
  </si>
  <si>
    <t>2012-02-28 00:00:00</t>
  </si>
  <si>
    <t>2012-01-12 12:35:14</t>
  </si>
  <si>
    <t>2012-02-25 00:00:00</t>
  </si>
  <si>
    <t>2012-01-12 13:03:00</t>
  </si>
  <si>
    <t>690102xxx5x</t>
  </si>
  <si>
    <t>2012-01-12 13:25:33</t>
  </si>
  <si>
    <t>2008-11-21</t>
  </si>
  <si>
    <t>2012-11-06 00:00:00</t>
  </si>
  <si>
    <t>2012-01-12 13:26:35</t>
  </si>
  <si>
    <t>2012-01-12 13:37:24</t>
  </si>
  <si>
    <t>2012-01-12 13:52:08</t>
  </si>
  <si>
    <t>2012-01-12 14:41:37</t>
  </si>
  <si>
    <t>2012-01-12 14:42:24</t>
  </si>
  <si>
    <t>2012-01-12 14:44:00</t>
  </si>
  <si>
    <t>2012-01-12 15:53:31</t>
  </si>
  <si>
    <t>2012-01-12 16:33:53</t>
  </si>
  <si>
    <t>2012-02-22 00:00:00</t>
  </si>
  <si>
    <t>450223xxx2x</t>
  </si>
  <si>
    <t>2012-01-13 09:42:36</t>
  </si>
  <si>
    <t>2012-01-13 09:45:46</t>
  </si>
  <si>
    <t>2012-02-13</t>
  </si>
  <si>
    <t>2012-01-13 09:57:48</t>
  </si>
  <si>
    <t>2012-01-13 10:01:56</t>
  </si>
  <si>
    <t>2012-01-13 11:27:08</t>
  </si>
  <si>
    <t>2012-01-13 12:51:01</t>
  </si>
  <si>
    <t>2012-01-13 13:00:03</t>
  </si>
  <si>
    <t>2012-01-13 13:53:26</t>
  </si>
  <si>
    <t>2012-01-13 14:59:31</t>
  </si>
  <si>
    <t>610508xxx3x</t>
  </si>
  <si>
    <t>2012-01-13 15:20:05</t>
  </si>
  <si>
    <t>1989-01-01</t>
  </si>
  <si>
    <t>2012-01-13 15:43:35</t>
  </si>
  <si>
    <t>811201xxx5x</t>
  </si>
  <si>
    <t>2012-01-13 16:13:13</t>
  </si>
  <si>
    <t>2012-10-03</t>
  </si>
  <si>
    <t>2012-01-13 16:18:34</t>
  </si>
  <si>
    <t>2012-01-13 16:27:40</t>
  </si>
  <si>
    <t>2012-01-14 09:16:41</t>
  </si>
  <si>
    <t>2012-01-14 10:06:48</t>
  </si>
  <si>
    <t>2012-01-14 10:22:46</t>
  </si>
  <si>
    <t>2012-01-14 12:28:51</t>
  </si>
  <si>
    <t>2012-01-14 13:16:18</t>
  </si>
  <si>
    <t>2012-01-16 09:53:04</t>
  </si>
  <si>
    <t>2012-02-15</t>
  </si>
  <si>
    <t>2012-01-16 10:22:31</t>
  </si>
  <si>
    <t>420705xxx2x</t>
  </si>
  <si>
    <t>2012-01-16 10:34:15</t>
  </si>
  <si>
    <t>1997-01-16</t>
  </si>
  <si>
    <t>2012-01-16 10:29:10</t>
  </si>
  <si>
    <t>2012-01-16 10:45:08</t>
  </si>
  <si>
    <t>2012-01-16 11:15:36</t>
  </si>
  <si>
    <t>500802xxx2x</t>
  </si>
  <si>
    <t>2012-01-16 14:18:54</t>
  </si>
  <si>
    <t>1960-01-01</t>
  </si>
  <si>
    <t>2012-01-16 14:40:13</t>
  </si>
  <si>
    <t>2012-01-16 15:11:16</t>
  </si>
  <si>
    <t>900427xxx8x</t>
  </si>
  <si>
    <t>2012-01-16 15:42:56</t>
  </si>
  <si>
    <t>2011-10-10</t>
  </si>
  <si>
    <t>2012-01-16 15:29:27</t>
  </si>
  <si>
    <t>2012-01-16 15:33:56</t>
  </si>
  <si>
    <t>2012-01-16 15:44:14</t>
  </si>
  <si>
    <t>2012-02-20 00:00:00</t>
  </si>
  <si>
    <t>580604xxx6x</t>
  </si>
  <si>
    <t>2012-01-16 16:13:13</t>
  </si>
  <si>
    <t>1999-09-01</t>
  </si>
  <si>
    <t>2012-01-16 16:13:27</t>
  </si>
  <si>
    <t>2012-12-21</t>
  </si>
  <si>
    <t>890206xxx7x</t>
  </si>
  <si>
    <t>2012-01-16 16:27:52</t>
  </si>
  <si>
    <t>2011-02-28</t>
  </si>
  <si>
    <t>2012-01-16 16:48:48</t>
  </si>
  <si>
    <t>770226xxx7x</t>
  </si>
  <si>
    <t>2012-01-16 17:16:52</t>
  </si>
  <si>
    <t>2012-01-16 17:05:18</t>
  </si>
  <si>
    <t>2012-01-16 17:17:25</t>
  </si>
  <si>
    <t>2012-01-17 09:14:10</t>
  </si>
  <si>
    <t>2012-02-16</t>
  </si>
  <si>
    <t>2012-01-17 09:26:55</t>
  </si>
  <si>
    <t>2012-01-17 10:05:10</t>
  </si>
  <si>
    <t>2012-01-17 11:33:08</t>
  </si>
  <si>
    <t>2012-02-27 00:00:00</t>
  </si>
  <si>
    <t>2012-01-17 11:47:53</t>
  </si>
  <si>
    <t>2012-01-17 12:24:51</t>
  </si>
  <si>
    <t>550928xxx2x</t>
  </si>
  <si>
    <t>2012-01-17 14:20:37</t>
  </si>
  <si>
    <t>2002-06-30</t>
  </si>
  <si>
    <t>2012-01-17 14:08:45</t>
  </si>
  <si>
    <t>2012-01-17 14:25:47</t>
  </si>
  <si>
    <t>2012-02-29 00:00:00</t>
  </si>
  <si>
    <t>551107xxx1x</t>
  </si>
  <si>
    <t>2012-01-17 14:47:49</t>
  </si>
  <si>
    <t>2012-01-17 15:37:30</t>
  </si>
  <si>
    <t>2012-01-17 15:45:06</t>
  </si>
  <si>
    <t>2012-01-18 12:43:49</t>
  </si>
  <si>
    <t>2012-01-18 13:09:28</t>
  </si>
  <si>
    <t>2012-01-18 14:36:21</t>
  </si>
  <si>
    <t>2012-01-18 15:33:54</t>
  </si>
  <si>
    <t>2012-01-18 15:53:35</t>
  </si>
  <si>
    <t>2012-01-18 16:07:28</t>
  </si>
  <si>
    <t>2012-01-18 16:20:29</t>
  </si>
  <si>
    <t>570209xxx2x</t>
  </si>
  <si>
    <t>2012-01-18 17:09:13</t>
  </si>
  <si>
    <t>2012-01-19 09:31:17</t>
  </si>
  <si>
    <t>2012-02-18</t>
  </si>
  <si>
    <t>2012-01-19 10:01:31</t>
  </si>
  <si>
    <t>2012-01-19 11:06:09</t>
  </si>
  <si>
    <t>2012-03-01</t>
  </si>
  <si>
    <t>2012-01-19 11:11:56</t>
  </si>
  <si>
    <t>2012-01-19 12:06:58</t>
  </si>
  <si>
    <t>2012-01-19 12:06:40</t>
  </si>
  <si>
    <t>2012-01-19 12:12:23</t>
  </si>
  <si>
    <t>2012-01-19 12:24:54</t>
  </si>
  <si>
    <t>2012-11-23 00:00:00</t>
  </si>
  <si>
    <t>2012-01-19 12:59:49</t>
  </si>
  <si>
    <t>2012-01-19 13:00:17</t>
  </si>
  <si>
    <t>2012-03-05 00:00:00</t>
  </si>
  <si>
    <t>570616xxx2x</t>
  </si>
  <si>
    <t>2012-01-19 13:36:25</t>
  </si>
  <si>
    <t>2011-07-12</t>
  </si>
  <si>
    <t>2012-06-30</t>
  </si>
  <si>
    <t>2012-01-19 14:00:37</t>
  </si>
  <si>
    <t>861023xxx5x</t>
  </si>
  <si>
    <t>2012-01-19 14:56:59</t>
  </si>
  <si>
    <t>2012-01-19 16:05:57</t>
  </si>
  <si>
    <t>2012-01-19 16:06:30</t>
  </si>
  <si>
    <t>2012-01-19 16:42:28</t>
  </si>
  <si>
    <t>2012-01-19 17:06:38</t>
  </si>
  <si>
    <t>2012-10-05 00:00:00</t>
  </si>
  <si>
    <t>520808xxx3x</t>
  </si>
  <si>
    <t>2012-01-20 09:54:23</t>
  </si>
  <si>
    <t>2003-10-18</t>
  </si>
  <si>
    <t>2012-02-20</t>
  </si>
  <si>
    <t>590304xxx9x</t>
  </si>
  <si>
    <t>2012-01-20 10:17:00</t>
  </si>
  <si>
    <t>411124xxx5x</t>
  </si>
  <si>
    <t>2012-01-20 10:42:36</t>
  </si>
  <si>
    <t>1999-01-01</t>
  </si>
  <si>
    <t>590803xxx3x</t>
  </si>
  <si>
    <t>2012-01-20 11:01:22</t>
  </si>
  <si>
    <t>1980-06-09</t>
  </si>
  <si>
    <t>2012-01-20 11:30:58</t>
  </si>
  <si>
    <t>2012-02-18 00:00:00</t>
  </si>
  <si>
    <t>2012-01-20 13:30:27</t>
  </si>
  <si>
    <t>2012-01-20 14:37:55</t>
  </si>
  <si>
    <t>2012-01-20 15:01:41</t>
  </si>
  <si>
    <t>770719xxx7x</t>
  </si>
  <si>
    <t>2012-01-20 15:20:36</t>
  </si>
  <si>
    <t>1997-01-02</t>
  </si>
  <si>
    <t>2012-01-20 15:20:29</t>
  </si>
  <si>
    <t>2012-01-20 16:37:38</t>
  </si>
  <si>
    <t>790805xxx3x</t>
  </si>
  <si>
    <t>2012-01-20 16:58:13</t>
  </si>
  <si>
    <t>2012-01-20 17:09:55</t>
  </si>
  <si>
    <t>2012-01-20 17:24:32</t>
  </si>
  <si>
    <t>2012-01-21 09:59:49</t>
  </si>
  <si>
    <t>340215xxx0x</t>
  </si>
  <si>
    <t>2012-01-21 10:10:12</t>
  </si>
  <si>
    <t>1989-04-01</t>
  </si>
  <si>
    <t>2012-01-21 10:18:16</t>
  </si>
  <si>
    <t>2012-01-21 10:50:36</t>
  </si>
  <si>
    <t>2012-10-03 00:00:00</t>
  </si>
  <si>
    <t>800924xxx1x</t>
  </si>
  <si>
    <t>2012-01-21 11:19:24</t>
  </si>
  <si>
    <t>2007-05-21</t>
  </si>
  <si>
    <t>810211xxx1x</t>
  </si>
  <si>
    <t>2012-01-21 12:09:11</t>
  </si>
  <si>
    <t>2021-12-31</t>
  </si>
  <si>
    <t>2012-01-21 12:13:21</t>
  </si>
  <si>
    <t>2012-01-21 12:30:51</t>
  </si>
  <si>
    <t>2012-01-23 09:04:43</t>
  </si>
  <si>
    <t>2012-02-22</t>
  </si>
  <si>
    <t>800716xxx1x</t>
  </si>
  <si>
    <t>2012-01-23 10:10:25</t>
  </si>
  <si>
    <t>371112xxx4x</t>
  </si>
  <si>
    <t>2012-01-23 10:28:09</t>
  </si>
  <si>
    <t>2012-01-23 10:23:01</t>
  </si>
  <si>
    <t>2012-01-23 10:41:18</t>
  </si>
  <si>
    <t>2012-01-23 11:02:39</t>
  </si>
  <si>
    <t>2012-02-23 00:00:00</t>
  </si>
  <si>
    <t>440518xxx8x</t>
  </si>
  <si>
    <t>2012-01-23 11:25:20</t>
  </si>
  <si>
    <t>1996-06-01</t>
  </si>
  <si>
    <t>711027xxx8x</t>
  </si>
  <si>
    <t>2012-01-23 12:00:00</t>
  </si>
  <si>
    <t>2012-03-09 00:00:00</t>
  </si>
  <si>
    <t>2012-01-23 11:47:31</t>
  </si>
  <si>
    <t>2012-01-23 12:43:30</t>
  </si>
  <si>
    <t>400920xxx0x</t>
  </si>
  <si>
    <t>2012-01-23 13:11:16</t>
  </si>
  <si>
    <t>1998-10-13</t>
  </si>
  <si>
    <t>2012-01-23 13:09:35</t>
  </si>
  <si>
    <t>2012-01-23 13:15:03</t>
  </si>
  <si>
    <t>2012-01-23 13:33:22</t>
  </si>
  <si>
    <t>2012-01-23 14:40:03</t>
  </si>
  <si>
    <t>2012-01-23 14:46:07</t>
  </si>
  <si>
    <t>590527xxx6x</t>
  </si>
  <si>
    <t>2012-01-23 15:17:47</t>
  </si>
  <si>
    <t>2009-04-21</t>
  </si>
  <si>
    <t>2012-01-23 16:03:08</t>
  </si>
  <si>
    <t>550907xxx1x</t>
  </si>
  <si>
    <t>2012-01-23 16:48:32</t>
  </si>
  <si>
    <t>2006-03-01</t>
  </si>
  <si>
    <t>2012-01-24 08:45:17</t>
  </si>
  <si>
    <t>2012-01-24 09:04:29</t>
  </si>
  <si>
    <t>2012-03-02 00:00:00</t>
  </si>
  <si>
    <t>2012-01-24 10:44:30</t>
  </si>
  <si>
    <t>2012-01-24 12:15:02</t>
  </si>
  <si>
    <t>581002xxx4x</t>
  </si>
  <si>
    <t>2012-01-24 12:19:50</t>
  </si>
  <si>
    <t>2012-01-24 12:24:47</t>
  </si>
  <si>
    <t>2012-01-24 13:41:30</t>
  </si>
  <si>
    <t>2012-01-24 13:43:58</t>
  </si>
  <si>
    <t>2012-01-24 13:53:27</t>
  </si>
  <si>
    <t>740321xxx8x</t>
  </si>
  <si>
    <t>2012-01-24 15:24:20</t>
  </si>
  <si>
    <t>2004-05-04</t>
  </si>
  <si>
    <t>2017-07-31</t>
  </si>
  <si>
    <t>2012-01-24 15:38:10</t>
  </si>
  <si>
    <t>2012-01-24 16:57:32</t>
  </si>
  <si>
    <t>2012-01-24 17:05:52</t>
  </si>
  <si>
    <t>2012-01-25 09:10:03</t>
  </si>
  <si>
    <t>2012-02-24</t>
  </si>
  <si>
    <t>2012-01-25 11:24:28</t>
  </si>
  <si>
    <t>2012-01-25 12:55:46</t>
  </si>
  <si>
    <t>2012-01-25 13:04:27</t>
  </si>
  <si>
    <t>2012-01-25 13:46:44</t>
  </si>
  <si>
    <t>2012-01-25 13:58:55</t>
  </si>
  <si>
    <t>2012-01-25 14:08:56</t>
  </si>
  <si>
    <t>580402xxx5x</t>
  </si>
  <si>
    <t>2012-01-25 14:23:06</t>
  </si>
  <si>
    <t>2010-02-02</t>
  </si>
  <si>
    <t>2012-01-25 15:22:45</t>
  </si>
  <si>
    <t>2012-01-25 15:24:20</t>
  </si>
  <si>
    <t>2012-01-25 15:27:50</t>
  </si>
  <si>
    <t>2012-01-25 15:44:07</t>
  </si>
  <si>
    <t>370507xxx3x</t>
  </si>
  <si>
    <t>2012-01-25 15:59:28</t>
  </si>
  <si>
    <t>2012-01-25 15:52:27</t>
  </si>
  <si>
    <t>2012-01-26 09:09:35</t>
  </si>
  <si>
    <t>2012-02-25</t>
  </si>
  <si>
    <t>2012-01-26 09:24:17</t>
  </si>
  <si>
    <t>2012-01-26 09:26:17</t>
  </si>
  <si>
    <t>2012-01-26 10:21:10</t>
  </si>
  <si>
    <t>2012-01-26 10:25:46</t>
  </si>
  <si>
    <t>2012-01-26 10:34:46</t>
  </si>
  <si>
    <t>2012-01-26 10:37:36</t>
  </si>
  <si>
    <t>2012-01-26 11:22:37</t>
  </si>
  <si>
    <t>2012-03-06 00:00:00</t>
  </si>
  <si>
    <t>2012-01-26 12:23:58</t>
  </si>
  <si>
    <t>2012-01-26 12:37:06</t>
  </si>
  <si>
    <t>2012-01-26 12:39:44</t>
  </si>
  <si>
    <t>2012-01-26 14:03:41</t>
  </si>
  <si>
    <t>2012-01-26 14:24:27</t>
  </si>
  <si>
    <t>2012-01-26 15:12:28</t>
  </si>
  <si>
    <t>2012-01-26 15:15:01</t>
  </si>
  <si>
    <t>2012-01-26 16:04:58</t>
  </si>
  <si>
    <t>520308xxx1x</t>
  </si>
  <si>
    <t>2012-01-26 16:49:23</t>
  </si>
  <si>
    <t>2012-01-27 09:00:26</t>
  </si>
  <si>
    <t>2012-02-27</t>
  </si>
  <si>
    <t>2012-01-27 09:40:16</t>
  </si>
  <si>
    <t>2012-01-27 09:57:38</t>
  </si>
  <si>
    <t>480721xxx9x</t>
  </si>
  <si>
    <t>2012-01-27 13:11:27</t>
  </si>
  <si>
    <t>520905xxx0x</t>
  </si>
  <si>
    <t>2012-01-27 13:52:24</t>
  </si>
  <si>
    <t>2007-01-04</t>
  </si>
  <si>
    <t>2012-01-27 14:38:02</t>
  </si>
  <si>
    <t>2012-01-27 14:44:02</t>
  </si>
  <si>
    <t>2012-01-27 15:46:23</t>
  </si>
  <si>
    <t>2012-01-27 17:45:16</t>
  </si>
  <si>
    <t>2012-01-27 17:59:49</t>
  </si>
  <si>
    <t>2012-01-28 09:17:29</t>
  </si>
  <si>
    <t>2012-01-28 09:26:48</t>
  </si>
  <si>
    <t>2012-01-28 10:41:01</t>
  </si>
  <si>
    <t>2012-03-01 00:00:00</t>
  </si>
  <si>
    <t>2012-01-28 11:19:08</t>
  </si>
  <si>
    <t>401008xxx6x</t>
  </si>
  <si>
    <t>2012-01-28 12:13:28</t>
  </si>
  <si>
    <t>1994-01-02</t>
  </si>
  <si>
    <t>750318xxx1x</t>
  </si>
  <si>
    <t>2012-01-30 09:53:26</t>
  </si>
  <si>
    <t>2009-01-16</t>
  </si>
  <si>
    <t>2012-02-29</t>
  </si>
  <si>
    <t>2012-01-30 09:51:29</t>
  </si>
  <si>
    <t>2012-01-30 10:30:20</t>
  </si>
  <si>
    <t>2012-01-30 10:31:37</t>
  </si>
  <si>
    <t>571030xxx8x</t>
  </si>
  <si>
    <t>2012-01-30 10:40:01</t>
  </si>
  <si>
    <t>490916xxx4x</t>
  </si>
  <si>
    <t>2012-01-30 10:59:13</t>
  </si>
  <si>
    <t>2004-12-01</t>
  </si>
  <si>
    <t>750110xxx9x</t>
  </si>
  <si>
    <t>2012-01-30 11:46:17</t>
  </si>
  <si>
    <t>1998-11-01</t>
  </si>
  <si>
    <t>410715xxx8x</t>
  </si>
  <si>
    <t>2012-01-30 12:22:09</t>
  </si>
  <si>
    <t>2006-02-01</t>
  </si>
  <si>
    <t>2012-01-30 13:58:54</t>
  </si>
  <si>
    <t>870718xxx6x</t>
  </si>
  <si>
    <t>2012-01-30 15:18:01</t>
  </si>
  <si>
    <t>2011-09-02</t>
  </si>
  <si>
    <t>2012-09-30</t>
  </si>
  <si>
    <t>460527xxx6x</t>
  </si>
  <si>
    <t>2012-01-30 15:23:41</t>
  </si>
  <si>
    <t>661214xxx9x</t>
  </si>
  <si>
    <t>2012-01-30 16:13:42</t>
  </si>
  <si>
    <t>2011-08-02</t>
  </si>
  <si>
    <t>2012-01-30 16:59:29</t>
  </si>
  <si>
    <t>790523xxx5x</t>
  </si>
  <si>
    <t>2012-01-30 17:28:50</t>
  </si>
  <si>
    <t>2012-01-30 17:32:15</t>
  </si>
  <si>
    <t>2012-01-31 10:36:50</t>
  </si>
  <si>
    <t>2012-01-31 11:06:59</t>
  </si>
  <si>
    <t>600507xxx9x</t>
  </si>
  <si>
    <t>2012-01-31 11:23:36</t>
  </si>
  <si>
    <t>2012-01-31 12:22:59</t>
  </si>
  <si>
    <t>2012-01-31 12:24:07</t>
  </si>
  <si>
    <t>2012-01-31 13:08:25</t>
  </si>
  <si>
    <t>2012-01-31 13:12:08</t>
  </si>
  <si>
    <t>2012-01-31 13:14:59</t>
  </si>
  <si>
    <t>2012-01-31 13:45:39</t>
  </si>
  <si>
    <t>2012-01-31 14:55:47</t>
  </si>
  <si>
    <t>2012-01-31 15:02:14</t>
  </si>
  <si>
    <t>2012-01-31 15:09:42</t>
  </si>
  <si>
    <t>2012-01-31 15:10:48</t>
  </si>
  <si>
    <t>600519xxx1x</t>
  </si>
  <si>
    <t>2012-01-31 15:32:17</t>
  </si>
  <si>
    <t>2012-07-13</t>
  </si>
  <si>
    <t>2012-01-31 15:24:53</t>
  </si>
  <si>
    <t>2012-03-20 00:00:00</t>
  </si>
  <si>
    <t>2012-01-31 15:40:50</t>
  </si>
  <si>
    <t>831003xxx4x</t>
  </si>
  <si>
    <t>2012-01-31 15:55:16</t>
  </si>
  <si>
    <t>2004-07-01</t>
  </si>
  <si>
    <t>860921xxx9x</t>
  </si>
  <si>
    <t>2012-01-31 15:58:08</t>
  </si>
  <si>
    <t>2012-08-01</t>
  </si>
  <si>
    <t>2012-01-31 16:12:37</t>
  </si>
  <si>
    <t>2012-01-31 16:06:45</t>
  </si>
  <si>
    <t>2012-01-31 16:09:44</t>
  </si>
  <si>
    <t>2012-01-31 16:13:28</t>
  </si>
  <si>
    <t>2012-01-31 16:17:20</t>
  </si>
  <si>
    <t>2012-01-31 16:33:01</t>
  </si>
  <si>
    <t>2012-01-31 16:37:11</t>
  </si>
  <si>
    <t>2012-01-31 16:52:52</t>
  </si>
  <si>
    <t>2012-01-31 16:54:13</t>
  </si>
  <si>
    <t>2012-01-31 17:36:09</t>
  </si>
  <si>
    <t>2012-01-31 17:38:49</t>
  </si>
  <si>
    <t>2012-02-01 08:58:49</t>
  </si>
  <si>
    <t>2012-03-02</t>
  </si>
  <si>
    <t>2012-02-01 09:40:23</t>
  </si>
  <si>
    <t>2012-02-01 10:42:29</t>
  </si>
  <si>
    <t>470216xxx0x</t>
  </si>
  <si>
    <t>2012-02-01 11:43:14</t>
  </si>
  <si>
    <t>510611xxx1x</t>
  </si>
  <si>
    <t>2012-02-01 12:05:36</t>
  </si>
  <si>
    <t>1979-01-01</t>
  </si>
  <si>
    <t>2012-02-01 12:09:53</t>
  </si>
  <si>
    <t>2012-02-01 12:48:44</t>
  </si>
  <si>
    <t>2012-03-12 00:00:00</t>
  </si>
  <si>
    <t>2012-02-01 13:52:43</t>
  </si>
  <si>
    <t>2012-02-01 13:52:18</t>
  </si>
  <si>
    <t>800801xxx4x</t>
  </si>
  <si>
    <t>2012-02-01 15:35:43</t>
  </si>
  <si>
    <t>2011-11-09</t>
  </si>
  <si>
    <t>2012-02-01 17:55:17</t>
  </si>
  <si>
    <t>2012-03-03 00:00:00</t>
  </si>
  <si>
    <t>2012-02-02 09:09:12</t>
  </si>
  <si>
    <t>2012-03-03</t>
  </si>
  <si>
    <t>2012-02-02 10:10:52</t>
  </si>
  <si>
    <t>2012-02-02 10:26:16</t>
  </si>
  <si>
    <t>2012-02-02 11:32:11</t>
  </si>
  <si>
    <t>2012-02-02 13:04:28</t>
  </si>
  <si>
    <t>680527xxx8x</t>
  </si>
  <si>
    <t>2012-02-02 13:27:50</t>
  </si>
  <si>
    <t>2013-12-11</t>
  </si>
  <si>
    <t>2012-02-02 13:13:53</t>
  </si>
  <si>
    <t>2012-02-02 13:23:15</t>
  </si>
  <si>
    <t>2012-02-02 13:45:44</t>
  </si>
  <si>
    <t>610307xxx5x</t>
  </si>
  <si>
    <t>2012-02-02 14:05:18</t>
  </si>
  <si>
    <t>2018-04-30</t>
  </si>
  <si>
    <t>730310xxx4x</t>
  </si>
  <si>
    <t>2012-02-02 14:31:57</t>
  </si>
  <si>
    <t>2009-10-01</t>
  </si>
  <si>
    <t>2012-02-02 14:43:52</t>
  </si>
  <si>
    <t>2012-02-02 15:13:35</t>
  </si>
  <si>
    <t>880128xxx7x</t>
  </si>
  <si>
    <t>2012-02-02 16:15:38</t>
  </si>
  <si>
    <t>2012-02-03 13:05:32</t>
  </si>
  <si>
    <t>2012-03-05</t>
  </si>
  <si>
    <t>2012-02-03 13:15:50</t>
  </si>
  <si>
    <t>2012-02-03 13:23:46</t>
  </si>
  <si>
    <t>2012-06-11 00:00:00</t>
  </si>
  <si>
    <t>850511xxx3x</t>
  </si>
  <si>
    <t>2012-02-03 13:38:47</t>
  </si>
  <si>
    <t>2012-02-03 13:55:22</t>
  </si>
  <si>
    <t>2012-02-03 14:09:11</t>
  </si>
  <si>
    <t>2012-02-03 15:15:46</t>
  </si>
  <si>
    <t>2012-10-17 00:00:00</t>
  </si>
  <si>
    <t>2012-02-03 16:51:06</t>
  </si>
  <si>
    <t>2012-02-03 17:17:49</t>
  </si>
  <si>
    <t>2012-02-03 17:19:43</t>
  </si>
  <si>
    <t>2012-02-04 10:21:38</t>
  </si>
  <si>
    <t>2012-02-04 10:52:33</t>
  </si>
  <si>
    <t>580701xxx4x</t>
  </si>
  <si>
    <t>2012-02-04 12:02:27</t>
  </si>
  <si>
    <t>2012-03-20</t>
  </si>
  <si>
    <t>620515xxx9x</t>
  </si>
  <si>
    <t>2012-02-04 12:33:56</t>
  </si>
  <si>
    <t>2012-02-06 08:51:51</t>
  </si>
  <si>
    <t>2012-03-07</t>
  </si>
  <si>
    <t>2012-02-06 09:04:45</t>
  </si>
  <si>
    <t>861006xxx8x</t>
  </si>
  <si>
    <t>2012-02-06 10:47:22</t>
  </si>
  <si>
    <t>2012-02-06 11:24:41</t>
  </si>
  <si>
    <t>2012-03-08 00:00:00</t>
  </si>
  <si>
    <t>2012-02-06 12:56:53</t>
  </si>
  <si>
    <t>2012-02-06 13:47:34</t>
  </si>
  <si>
    <t>2012-02-06 13:59:09</t>
  </si>
  <si>
    <t>2012-02-06 15:11:55</t>
  </si>
  <si>
    <t>2012-03-27 00:00:00</t>
  </si>
  <si>
    <t>2012-02-06 15:28:31</t>
  </si>
  <si>
    <t>2012-03-13 00:00:00</t>
  </si>
  <si>
    <t>2012-02-06 16:04:09</t>
  </si>
  <si>
    <t>2012-02-06 16:18:03</t>
  </si>
  <si>
    <t>2012-02-06 17:09:47</t>
  </si>
  <si>
    <t>740408xxx5x</t>
  </si>
  <si>
    <t>2012-02-06 17:39:00</t>
  </si>
  <si>
    <t>760315xxx9x</t>
  </si>
  <si>
    <t>2012-02-07 12:20:08</t>
  </si>
  <si>
    <t>2012-08-13</t>
  </si>
  <si>
    <t>2012-03-08</t>
  </si>
  <si>
    <t>2012-02-07 12:21:03</t>
  </si>
  <si>
    <t>2012-02-07 13:59:14</t>
  </si>
  <si>
    <t>2012-02-07 14:34:08</t>
  </si>
  <si>
    <t>550920xxx8x</t>
  </si>
  <si>
    <t>2012-02-07 16:09:28</t>
  </si>
  <si>
    <t>2001-02-01</t>
  </si>
  <si>
    <t>2015-09-02</t>
  </si>
  <si>
    <t>900918xxx5x</t>
  </si>
  <si>
    <t>2012-02-07 16:16:12</t>
  </si>
  <si>
    <t>2010-04-12</t>
  </si>
  <si>
    <t>2013-09-18</t>
  </si>
  <si>
    <t>920708xxx6x</t>
  </si>
  <si>
    <t>2012-02-07 16:16:47</t>
  </si>
  <si>
    <t>450519xxx4x</t>
  </si>
  <si>
    <t>2012-02-08 09:59:47</t>
  </si>
  <si>
    <t>1995-02-01</t>
  </si>
  <si>
    <t>2012-02-08 10:01:16</t>
  </si>
  <si>
    <t>2012-02-08 10:05:00</t>
  </si>
  <si>
    <t>2012-02-08 10:32:33</t>
  </si>
  <si>
    <t>770313xxx1x</t>
  </si>
  <si>
    <t>2012-02-08 10:42:15</t>
  </si>
  <si>
    <t>2012-02-08 10:57:28</t>
  </si>
  <si>
    <t>2012-02-08 11:35:04</t>
  </si>
  <si>
    <t>2012-02-08 12:26:24</t>
  </si>
  <si>
    <t>2012-03-10 00:00:00</t>
  </si>
  <si>
    <t>2012-02-08 13:09:22</t>
  </si>
  <si>
    <t>2012-03-15 00:00:00</t>
  </si>
  <si>
    <t>2012-02-08 16:01:35</t>
  </si>
  <si>
    <t>2012-02-08 16:18:29</t>
  </si>
  <si>
    <t>2012-02-08 16:41:33</t>
  </si>
  <si>
    <t>2012-02-09 09:39:22</t>
  </si>
  <si>
    <t>2012-03-10</t>
  </si>
  <si>
    <t>2012-02-09 09:41:36</t>
  </si>
  <si>
    <t>370525xxx8x</t>
  </si>
  <si>
    <t>2012-02-09 12:44:31</t>
  </si>
  <si>
    <t>680525xxx3x</t>
  </si>
  <si>
    <t>2012-02-09 13:19:37</t>
  </si>
  <si>
    <t>2010-05-02</t>
  </si>
  <si>
    <t>2012-10-08 00:00:00</t>
  </si>
  <si>
    <t>2012-02-09 13:24:34</t>
  </si>
  <si>
    <t>2012-02-09 13:36:04</t>
  </si>
  <si>
    <t>2012-04-02 00:00:00</t>
  </si>
  <si>
    <t>2012-02-09 14:51:38</t>
  </si>
  <si>
    <t>2012-02-09 14:52:48</t>
  </si>
  <si>
    <t>370723xxx0x</t>
  </si>
  <si>
    <t>2012-02-09 15:23:50</t>
  </si>
  <si>
    <t>2012-02-09 15:30:30</t>
  </si>
  <si>
    <t>2012-02-09 15:37:17</t>
  </si>
  <si>
    <t>381201xxx2x</t>
  </si>
  <si>
    <t>2012-02-09 16:01:45</t>
  </si>
  <si>
    <t>1992-01-01</t>
  </si>
  <si>
    <t>2012-02-09 16:32:56</t>
  </si>
  <si>
    <t>2012-02-09 16:39:31</t>
  </si>
  <si>
    <t>2012-02-09 17:36:49</t>
  </si>
  <si>
    <t>2012-02-09 17:54:14</t>
  </si>
  <si>
    <t>2012-02-10 09:51:40</t>
  </si>
  <si>
    <t>2012-03-12</t>
  </si>
  <si>
    <t>2012-03-14 00:00:00</t>
  </si>
  <si>
    <t>2012-02-10 10:33:50</t>
  </si>
  <si>
    <t>600802xxx6x</t>
  </si>
  <si>
    <t>2012-02-10 11:01:45</t>
  </si>
  <si>
    <t>2012-02-10 11:02:40</t>
  </si>
  <si>
    <t>2012-02-10 11:15:41</t>
  </si>
  <si>
    <t>2012-02-10 11:33:11</t>
  </si>
  <si>
    <t>2012-02-10 11:59:17</t>
  </si>
  <si>
    <t>2012-02-10 12:25:53</t>
  </si>
  <si>
    <t>2012-02-10 12:48:08</t>
  </si>
  <si>
    <t>2012-05-09 00:00:00</t>
  </si>
  <si>
    <t>2012-02-10 12:51:40</t>
  </si>
  <si>
    <t>2012-02-10 13:06:09</t>
  </si>
  <si>
    <t>740209xxx5x</t>
  </si>
  <si>
    <t>2012-02-10 13:22:14</t>
  </si>
  <si>
    <t>2011-10-08</t>
  </si>
  <si>
    <t>700402xxx8x</t>
  </si>
  <si>
    <t>2012-02-10 13:20:32</t>
  </si>
  <si>
    <t>2012-02-10 13:11:14</t>
  </si>
  <si>
    <t>2012-02-10 13:25:03</t>
  </si>
  <si>
    <t>890808xxx1x</t>
  </si>
  <si>
    <t>2012-02-10 13:49:21</t>
  </si>
  <si>
    <t>2013-06-04</t>
  </si>
  <si>
    <t>2012-09-17 00:00:00</t>
  </si>
  <si>
    <t>800916xxx9x</t>
  </si>
  <si>
    <t>2012-02-10 14:13:40</t>
  </si>
  <si>
    <t>2011-06-06</t>
  </si>
  <si>
    <t>2013-06-05</t>
  </si>
  <si>
    <t>761005xxx2x</t>
  </si>
  <si>
    <t>2012-02-10 15:16:23</t>
  </si>
  <si>
    <t>2012-02-10 15:12:52</t>
  </si>
  <si>
    <t>850907xxx1x</t>
  </si>
  <si>
    <t>2012-02-10 15:25:06</t>
  </si>
  <si>
    <t>2015-06-30</t>
  </si>
  <si>
    <t>2012-02-10 15:32:01</t>
  </si>
  <si>
    <t>2012-02-10 15:38:32</t>
  </si>
  <si>
    <t>2012-02-10 15:59:23</t>
  </si>
  <si>
    <t>2012-02-10 16:09:44</t>
  </si>
  <si>
    <t>2012-02-10 16:34:04</t>
  </si>
  <si>
    <t>2012-02-10 16:41:23</t>
  </si>
  <si>
    <t>2012-02-10 16:43:08</t>
  </si>
  <si>
    <t>2012-02-10 16:57:03</t>
  </si>
  <si>
    <t>2012-02-10 17:09:38</t>
  </si>
  <si>
    <t>781222xxx5x</t>
  </si>
  <si>
    <t>2012-02-10 17:37:17</t>
  </si>
  <si>
    <t>2012-02-06</t>
  </si>
  <si>
    <t>2012-02-11 09:39:47</t>
  </si>
  <si>
    <t>2012-02-11 09:45:50</t>
  </si>
  <si>
    <t>2012-02-11 11:41:24</t>
  </si>
  <si>
    <t>2012-02-11 13:47:29</t>
  </si>
  <si>
    <t>2012-02-13 08:51:38</t>
  </si>
  <si>
    <t>2012-03-14</t>
  </si>
  <si>
    <t>760325xxx5x</t>
  </si>
  <si>
    <t>2012-02-13 09:21:29</t>
  </si>
  <si>
    <t>2011-08-24</t>
  </si>
  <si>
    <t>2012-02-13 09:21:47</t>
  </si>
  <si>
    <t>2012-02-13 10:05:29</t>
  </si>
  <si>
    <t>2012-02-13 10:42:10</t>
  </si>
  <si>
    <t>2012-02-13 10:49:11</t>
  </si>
  <si>
    <t>2012-02-13 10:55:32</t>
  </si>
  <si>
    <t>441107xxx0x</t>
  </si>
  <si>
    <t>2012-02-13 11:31:26</t>
  </si>
  <si>
    <t>2006-02-13</t>
  </si>
  <si>
    <t>2012-02-13 12:51:28</t>
  </si>
  <si>
    <t>540506xxx8x</t>
  </si>
  <si>
    <t>2012-02-13 13:12:47</t>
  </si>
  <si>
    <t>2011-05-13</t>
  </si>
  <si>
    <t>2012-03-21 00:00:00</t>
  </si>
  <si>
    <t>760910xxx8x</t>
  </si>
  <si>
    <t>2012-02-13 13:24:11</t>
  </si>
  <si>
    <t>2011-08-25</t>
  </si>
  <si>
    <t>2012-02-13 13:42:15</t>
  </si>
  <si>
    <t>740718xxx9x</t>
  </si>
  <si>
    <t>2012-02-13 14:03:22</t>
  </si>
  <si>
    <t>2012-02-13 14:08:13</t>
  </si>
  <si>
    <t>2012-03-17 00:00:00</t>
  </si>
  <si>
    <t>2012-02-13 14:25:58</t>
  </si>
  <si>
    <t>2012-02-13 14:50:13</t>
  </si>
  <si>
    <t>560116xxx1x</t>
  </si>
  <si>
    <t>2012-02-13 15:15:09</t>
  </si>
  <si>
    <t>2007-02-01</t>
  </si>
  <si>
    <t>481217xxx5x</t>
  </si>
  <si>
    <t>2012-02-13 15:57:29</t>
  </si>
  <si>
    <t>2012-07-01</t>
  </si>
  <si>
    <t>920516xxx7x</t>
  </si>
  <si>
    <t>2012-02-13 16:21:31</t>
  </si>
  <si>
    <t>2012-02-13 16:17:13</t>
  </si>
  <si>
    <t>2012-02-13 16:58:17</t>
  </si>
  <si>
    <t>510324xxx0x</t>
  </si>
  <si>
    <t>2012-02-13 17:09:16</t>
  </si>
  <si>
    <t>2012-02-14 09:01:08</t>
  </si>
  <si>
    <t>2012-02-14 09:04:53</t>
  </si>
  <si>
    <t>2012-02-14 10:55:14</t>
  </si>
  <si>
    <t>2012-03-19 00:00:00</t>
  </si>
  <si>
    <t>2012-02-14 12:07:48</t>
  </si>
  <si>
    <t>2012-02-14 12:16:51</t>
  </si>
  <si>
    <t>690613xxx9x</t>
  </si>
  <si>
    <t>2012-02-14 12:26:33</t>
  </si>
  <si>
    <t>2008-03-17</t>
  </si>
  <si>
    <t>2012-02-14 13:26:24</t>
  </si>
  <si>
    <t>2012-09-03 00:00:00</t>
  </si>
  <si>
    <t>2012-02-14 14:14:02</t>
  </si>
  <si>
    <t>2012-02-14 14:08:27</t>
  </si>
  <si>
    <t>2012-02-14 14:57:21</t>
  </si>
  <si>
    <t>2012-02-14 15:25:28</t>
  </si>
  <si>
    <t>2012-02-14 15:25:49</t>
  </si>
  <si>
    <t>2012-03-23 00:00:00</t>
  </si>
  <si>
    <t>2012-02-14 15:36:23</t>
  </si>
  <si>
    <t>2012-02-14 15:52:44</t>
  </si>
  <si>
    <t>2012-02-14 16:19:26</t>
  </si>
  <si>
    <t>2012-02-14 17:37:51</t>
  </si>
  <si>
    <t>2012-02-14 17:43:50</t>
  </si>
  <si>
    <t>870902xxx3x</t>
  </si>
  <si>
    <t>2012-02-15 09:39:31</t>
  </si>
  <si>
    <t>2008-09-16</t>
  </si>
  <si>
    <t>2012-03-16</t>
  </si>
  <si>
    <t>610304xxx6x</t>
  </si>
  <si>
    <t>2012-02-15 10:18:31</t>
  </si>
  <si>
    <t>2012-02-15 10:09:19</t>
  </si>
  <si>
    <t>2012-02-15 10:34:51</t>
  </si>
  <si>
    <t>2012-02-15 12:19:20</t>
  </si>
  <si>
    <t>2012-02-15 12:24:15</t>
  </si>
  <si>
    <t>2012-02-15 13:06:44</t>
  </si>
  <si>
    <t>390408xxx0x</t>
  </si>
  <si>
    <t>2012-02-15 13:44:44</t>
  </si>
  <si>
    <t>1994-04-08</t>
  </si>
  <si>
    <t>760905xxx3x</t>
  </si>
  <si>
    <t>2012-02-15 14:21:48</t>
  </si>
  <si>
    <t>2012-02-15 15:53:50</t>
  </si>
  <si>
    <t>2012-02-15 16:41:39</t>
  </si>
  <si>
    <t>2012-02-15 17:34:31</t>
  </si>
  <si>
    <t>670803xxx9x</t>
  </si>
  <si>
    <t>2012-02-15 17:48:01</t>
  </si>
  <si>
    <t>2012-02-15 18:03:30</t>
  </si>
  <si>
    <t>2012-02-16 09:24:05</t>
  </si>
  <si>
    <t>2012-03-17</t>
  </si>
  <si>
    <t>2012-02-16 10:11:18</t>
  </si>
  <si>
    <t>2012-02-16 10:40:40</t>
  </si>
  <si>
    <t>2012-02-16 11:44:39</t>
  </si>
  <si>
    <t>781015xxx0x</t>
  </si>
  <si>
    <t>2012-02-16 12:23:26</t>
  </si>
  <si>
    <t>2009-08-01</t>
  </si>
  <si>
    <t>510820xxx4x</t>
  </si>
  <si>
    <t>2012-02-16 12:39:12</t>
  </si>
  <si>
    <t>2011-09-09</t>
  </si>
  <si>
    <t>2012-02-16 12:47:21</t>
  </si>
  <si>
    <t>2012-02-16 13:46:07</t>
  </si>
  <si>
    <t>2012-02-16 14:45:38</t>
  </si>
  <si>
    <t>2000-02-01</t>
  </si>
  <si>
    <t>840825xxx1x</t>
  </si>
  <si>
    <t>2012-02-16 14:49:54</t>
  </si>
  <si>
    <t>2011-04-11</t>
  </si>
  <si>
    <t>2013-03-31</t>
  </si>
  <si>
    <t>620419xxx0x</t>
  </si>
  <si>
    <t>2012-02-16 15:07:26</t>
  </si>
  <si>
    <t>2012-02-16 15:05:44</t>
  </si>
  <si>
    <t>471129xxx7x</t>
  </si>
  <si>
    <t>2012-02-16 15:20:32</t>
  </si>
  <si>
    <t>2000-07-01</t>
  </si>
  <si>
    <t>2012-02-16 15:42:21</t>
  </si>
  <si>
    <t>2012-02-17 08:56:14</t>
  </si>
  <si>
    <t>2012-03-19</t>
  </si>
  <si>
    <t>2012-02-17 09:04:34</t>
  </si>
  <si>
    <t>2012-02-17 09:14:52</t>
  </si>
  <si>
    <t>2012-02-17 09:45:41</t>
  </si>
  <si>
    <t>2012-04-06 00:00:00</t>
  </si>
  <si>
    <t>2012-02-17 10:05:28</t>
  </si>
  <si>
    <t>2012-02-17 10:27:11</t>
  </si>
  <si>
    <t>2012-02-17 10:47:43</t>
  </si>
  <si>
    <t>2012-02-17 11:33:26</t>
  </si>
  <si>
    <t>600516xxx9x</t>
  </si>
  <si>
    <t>2012-02-17 14:01:11</t>
  </si>
  <si>
    <t>520113xxx4x</t>
  </si>
  <si>
    <t>2012-02-17 12:17:20</t>
  </si>
  <si>
    <t>2012-02-17 12:39:18</t>
  </si>
  <si>
    <t>2012-02-17 13:16:09</t>
  </si>
  <si>
    <t>2012-03-28 00:00:00</t>
  </si>
  <si>
    <t>2012-02-17 13:53:08</t>
  </si>
  <si>
    <t>2012-02-17 14:05:26</t>
  </si>
  <si>
    <t>2012-02-17 14:35:05</t>
  </si>
  <si>
    <t>530110xxx5x</t>
  </si>
  <si>
    <t>2012-02-17 15:05:44</t>
  </si>
  <si>
    <t>2008-03-21</t>
  </si>
  <si>
    <t>2015-05-31</t>
  </si>
  <si>
    <t>870504xxx3x</t>
  </si>
  <si>
    <t>2012-02-17 15:36:26</t>
  </si>
  <si>
    <t>2013-07-03</t>
  </si>
  <si>
    <t>2012-02-17 15:58:10</t>
  </si>
  <si>
    <t>2012-02-17 16:42:51</t>
  </si>
  <si>
    <t>2012-02-18 09:29:45</t>
  </si>
  <si>
    <t>2012-02-18 13:18:33</t>
  </si>
  <si>
    <t>2012-02-20 09:02:05</t>
  </si>
  <si>
    <t>2012-03-21</t>
  </si>
  <si>
    <t>2012-02-20 10:36:34</t>
  </si>
  <si>
    <t>2012-02-20 10:43:04</t>
  </si>
  <si>
    <t>2012-02-20 10:54:58</t>
  </si>
  <si>
    <t>2012-02-20 11:05:08</t>
  </si>
  <si>
    <t>2012-02-20 11:13:06</t>
  </si>
  <si>
    <t>621001xxx9x</t>
  </si>
  <si>
    <t>2012-02-20 11:49:14</t>
  </si>
  <si>
    <t>2008-02-01</t>
  </si>
  <si>
    <t>2018-12-31</t>
  </si>
  <si>
    <t>2012-02-20 11:55:34</t>
  </si>
  <si>
    <t>430724xxx1x</t>
  </si>
  <si>
    <t>2012-02-20 12:53:38</t>
  </si>
  <si>
    <t>840421xxx2x</t>
  </si>
  <si>
    <t>2012-02-20 13:01:00</t>
  </si>
  <si>
    <t>2011-12-06</t>
  </si>
  <si>
    <t>2012-07-09</t>
  </si>
  <si>
    <t>2012-02-20 12:58:35</t>
  </si>
  <si>
    <t>2012-02-20 13:05:41</t>
  </si>
  <si>
    <t>2012-02-20 14:09:05</t>
  </si>
  <si>
    <t>2012-04-11 00:00:00</t>
  </si>
  <si>
    <t>2012-02-20 14:10:03</t>
  </si>
  <si>
    <t>2012-02-20 14:31:09</t>
  </si>
  <si>
    <t>2012-02-20 15:07:48</t>
  </si>
  <si>
    <t>2012-03-24 00:00:00</t>
  </si>
  <si>
    <t>730611xxx5x</t>
  </si>
  <si>
    <t>2012-02-20 15:16:48</t>
  </si>
  <si>
    <t>2012-02-20 15:49:01</t>
  </si>
  <si>
    <t>2012-03-22 00:00:00</t>
  </si>
  <si>
    <t>2012-02-20 15:51:40</t>
  </si>
  <si>
    <t>861015xxx7x</t>
  </si>
  <si>
    <t>2012-02-20 16:53:57</t>
  </si>
  <si>
    <t>2011-04-21</t>
  </si>
  <si>
    <t>2013-04-20</t>
  </si>
  <si>
    <t>2012-02-20 17:33:38</t>
  </si>
  <si>
    <t>2012-02-21 09:43:02</t>
  </si>
  <si>
    <t>2012-03-22</t>
  </si>
  <si>
    <t>340317xxx0x</t>
  </si>
  <si>
    <t>2012-02-21 10:00:38</t>
  </si>
  <si>
    <t>1991-02-01</t>
  </si>
  <si>
    <t>2012-02-21 09:50:53</t>
  </si>
  <si>
    <t>510725xxx0x</t>
  </si>
  <si>
    <t>2012-02-21 10:16:50</t>
  </si>
  <si>
    <t>2005-02-01</t>
  </si>
  <si>
    <t>2012-02-21 10:42:00</t>
  </si>
  <si>
    <t>2012-02-21 11:18:34</t>
  </si>
  <si>
    <t>2012-04-03 00:00:00</t>
  </si>
  <si>
    <t>2012-02-21 11:37:51</t>
  </si>
  <si>
    <t>2012-02-21 11:54:35</t>
  </si>
  <si>
    <t>2012-11-16 00:00:00</t>
  </si>
  <si>
    <t>710320xxx6x</t>
  </si>
  <si>
    <t>2012-02-21 12:07:52</t>
  </si>
  <si>
    <t>2016-12-31</t>
  </si>
  <si>
    <t>2012-02-21 12:08:19</t>
  </si>
  <si>
    <t>380707xxx2x</t>
  </si>
  <si>
    <t>2012-02-21 12:22:03</t>
  </si>
  <si>
    <t>1970-02-01</t>
  </si>
  <si>
    <t>2012-03-30 00:00:00</t>
  </si>
  <si>
    <t>480915xxx2x</t>
  </si>
  <si>
    <t>2012-02-21 12:39:04</t>
  </si>
  <si>
    <t>2012-02-21 13:00:40</t>
  </si>
  <si>
    <t>2012-02-21 13:59:15</t>
  </si>
  <si>
    <t>510609xxx9x</t>
  </si>
  <si>
    <t>2012-02-21 14:31:24</t>
  </si>
  <si>
    <t>1984-02-01</t>
  </si>
  <si>
    <t>2012-02-21 14:35:13</t>
  </si>
  <si>
    <t>880413xxx4x</t>
  </si>
  <si>
    <t>2012-02-21 15:06:52</t>
  </si>
  <si>
    <t>2011-09-08</t>
  </si>
  <si>
    <t>560612xxx6x</t>
  </si>
  <si>
    <t>2012-02-21 15:20:28</t>
  </si>
  <si>
    <t>2012-02-21 16:19:12</t>
  </si>
  <si>
    <t>2012-03-29 00:00:00</t>
  </si>
  <si>
    <t>580819xxx5x</t>
  </si>
  <si>
    <t>2012-02-21 17:44:12</t>
  </si>
  <si>
    <t>1994-01-01</t>
  </si>
  <si>
    <t>2012-02-21 17:48:55</t>
  </si>
  <si>
    <t>2012-02-22 09:01:54</t>
  </si>
  <si>
    <t>2012-03-23</t>
  </si>
  <si>
    <t>521111xxx0x</t>
  </si>
  <si>
    <t>2012-02-22 10:26:46</t>
  </si>
  <si>
    <t>2012-02-22 10:33:04</t>
  </si>
  <si>
    <t>2012-04-05 00:00:00</t>
  </si>
  <si>
    <t>410221xxx4x</t>
  </si>
  <si>
    <t>2012-02-22 11:35:18</t>
  </si>
  <si>
    <t>2012-02-22 11:28:29</t>
  </si>
  <si>
    <t>2012-02-22 11:35:37</t>
  </si>
  <si>
    <t>2012-02-22 11:51:56</t>
  </si>
  <si>
    <t>2012-02-22 12:10:22</t>
  </si>
  <si>
    <t>2012-02-22 12:15:31</t>
  </si>
  <si>
    <t>2012-02-22 12:24:08</t>
  </si>
  <si>
    <t>600227xxx3x</t>
  </si>
  <si>
    <t>2012-02-22 12:49:48</t>
  </si>
  <si>
    <t>811019xxx3x</t>
  </si>
  <si>
    <t>2012-02-22 13:51:25</t>
  </si>
  <si>
    <t>2011-10-14</t>
  </si>
  <si>
    <t>2012-02-22 13:29:23</t>
  </si>
  <si>
    <t>2012-02-22 14:07:07</t>
  </si>
  <si>
    <t>2012-04-16 00:00:00</t>
  </si>
  <si>
    <t>2012-02-22 14:43:47</t>
  </si>
  <si>
    <t>2012-02-22 15:09:20</t>
  </si>
  <si>
    <t>650318xxx9x</t>
  </si>
  <si>
    <t>2012-02-22 16:17:54</t>
  </si>
  <si>
    <t>2012-02-22 16:22:17</t>
  </si>
  <si>
    <t>860605xxx3x</t>
  </si>
  <si>
    <t>2012-02-22 16:37:58</t>
  </si>
  <si>
    <t>2014-02-01</t>
  </si>
  <si>
    <t>2012-02-22 16:46:53</t>
  </si>
  <si>
    <t>2012-02-22 17:59:14</t>
  </si>
  <si>
    <t>2012-02-23 09:20:24</t>
  </si>
  <si>
    <t>2012-03-24</t>
  </si>
  <si>
    <t>2012-02-23 09:27:40</t>
  </si>
  <si>
    <t>2012-02-23 10:27:06</t>
  </si>
  <si>
    <t>2012-02-23 10:40:51</t>
  </si>
  <si>
    <t>2012-02-23 10:39:00</t>
  </si>
  <si>
    <t>2012-02-23 11:08:02</t>
  </si>
  <si>
    <t>830803xxx6x</t>
  </si>
  <si>
    <t>2012-02-23 11:31:47</t>
  </si>
  <si>
    <t>2006-08-14</t>
  </si>
  <si>
    <t>2015-08-13</t>
  </si>
  <si>
    <t>2012-02-23 11:55:42</t>
  </si>
  <si>
    <t>910728xxx8x</t>
  </si>
  <si>
    <t>2012-02-23 12:52:10</t>
  </si>
  <si>
    <t>661219xxx8x</t>
  </si>
  <si>
    <t>2012-02-28 14:57:28</t>
  </si>
  <si>
    <t>2012-03-29</t>
  </si>
  <si>
    <t>2012-02-23 15:59:30</t>
  </si>
  <si>
    <t>760413xxx1x</t>
  </si>
  <si>
    <t>2012-02-23 16:15:30</t>
  </si>
  <si>
    <t>2012-02-23 16:08:55</t>
  </si>
  <si>
    <t>2012-02-24 09:05:55</t>
  </si>
  <si>
    <t>2012-03-26</t>
  </si>
  <si>
    <t>2012-02-24 10:28:08</t>
  </si>
  <si>
    <t>2012-02-24 12:01:29</t>
  </si>
  <si>
    <t>2012-02-24 12:31:14</t>
  </si>
  <si>
    <t>2012-02-24 12:36:12</t>
  </si>
  <si>
    <t>830131xxx6x</t>
  </si>
  <si>
    <t>2012-02-24 13:01:11</t>
  </si>
  <si>
    <t>2015-09-30</t>
  </si>
  <si>
    <t>581123xxx6x</t>
  </si>
  <si>
    <t>2012-02-24 13:26:07</t>
  </si>
  <si>
    <t>2012-02-24 13:46:46</t>
  </si>
  <si>
    <t>2012-02-24 14:11:12</t>
  </si>
  <si>
    <t>2012-02-24 14:11:54</t>
  </si>
  <si>
    <t>2012-03-31 00:00:00</t>
  </si>
  <si>
    <t>440402xxx8x</t>
  </si>
  <si>
    <t>2012-02-24 14:31:56</t>
  </si>
  <si>
    <t>2012-02-24 14:37:57</t>
  </si>
  <si>
    <t>2012-02-24 14:38:32</t>
  </si>
  <si>
    <t>2012-02-24 14:39:34</t>
  </si>
  <si>
    <t>2012-02-24 14:50:53</t>
  </si>
  <si>
    <t>2012-02-24 14:55:05</t>
  </si>
  <si>
    <t>2012-02-24 15:32:41</t>
  </si>
  <si>
    <t>2012-02-24 17:00:06</t>
  </si>
  <si>
    <t>2012-02-25 09:00:50</t>
  </si>
  <si>
    <t>2012-02-25 09:05:56</t>
  </si>
  <si>
    <t>2012-02-25 10:07:39</t>
  </si>
  <si>
    <t>2012-02-25 10:17:58</t>
  </si>
  <si>
    <t>2012-02-25 11:10:42</t>
  </si>
  <si>
    <t>2012-02-25 12:00:57</t>
  </si>
  <si>
    <t>2012-02-25 12:12:24</t>
  </si>
  <si>
    <t>2012-09-06 00:00:00</t>
  </si>
  <si>
    <t>470913xxx6x</t>
  </si>
  <si>
    <t>2012-02-25 12:33:35</t>
  </si>
  <si>
    <t>2012-02-25 13:29:49</t>
  </si>
  <si>
    <t>2012-02-27 09:25:11</t>
  </si>
  <si>
    <t>2012-02-27 10:15:24</t>
  </si>
  <si>
    <t>721031xxx2x</t>
  </si>
  <si>
    <t>2012-02-27 10:35:05</t>
  </si>
  <si>
    <t>2007-08-07</t>
  </si>
  <si>
    <t>2013-11-13</t>
  </si>
  <si>
    <t>2012-04-04 00:00:00</t>
  </si>
  <si>
    <t>2012-02-27 10:53:04</t>
  </si>
  <si>
    <t>2012-02-27 11:27:48</t>
  </si>
  <si>
    <t>571009xxx0x</t>
  </si>
  <si>
    <t>2012-02-27 11:55:41</t>
  </si>
  <si>
    <t>2012-02-27 13:08:23</t>
  </si>
  <si>
    <t>2012-02-27 13:09:29</t>
  </si>
  <si>
    <t>2012-02-27 13:09:46</t>
  </si>
  <si>
    <t>2012-05-23</t>
  </si>
  <si>
    <t>2012-02-27 15:02:14</t>
  </si>
  <si>
    <t>870420xxx1x</t>
  </si>
  <si>
    <t>2012-02-27 16:47:10</t>
  </si>
  <si>
    <t>2011-10-01</t>
  </si>
  <si>
    <t>2013-09-01</t>
  </si>
  <si>
    <t>550416xxx1x</t>
  </si>
  <si>
    <t>2012-02-27 16:35:43</t>
  </si>
  <si>
    <t>2008-11-28</t>
  </si>
  <si>
    <t>2012-02-27 16:55:05</t>
  </si>
  <si>
    <t>kwota kredytu</t>
  </si>
  <si>
    <t>data urodzenia</t>
  </si>
  <si>
    <t>wiek</t>
  </si>
  <si>
    <t>płeć</t>
  </si>
  <si>
    <t>okres dochód (months)</t>
  </si>
  <si>
    <t>okres będzie dochód (months)</t>
  </si>
  <si>
    <t>opóźnienie spłaty (dni)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</si>
</sst>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zcionka tekstu podstawowego"/>
      <family val="2"/>
      <charset val="238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064B-7E33-4DCB-AB23-F664B84CFB19}">
  <dimension ref="A1:S1582"/>
  <sheetViews>
    <sheetView tabSelected="1" topLeftCell="L1" workbookViewId="0">
      <selection activeCell="T5" sqref="T5"/>
    </sheetView>
  </sheetViews>
  <sheetFormatPr defaultRowHeight="14.25"/>
  <cols>
    <col min="1" max="1" width="18.25" customWidth="1"/>
    <col min="2" max="2" width="14.5" customWidth="1"/>
    <col min="3" max="3" width="17.875" customWidth="1"/>
    <col min="4" max="4" width="14.875" customWidth="1"/>
    <col min="5" max="5" width="19.375" customWidth="1"/>
    <col min="6" max="6" width="21.75" style="4" customWidth="1"/>
    <col min="7" max="7" width="13.5" customWidth="1"/>
    <col min="8" max="8" width="18.75" customWidth="1"/>
    <col min="9" max="9" width="19" customWidth="1"/>
    <col min="10" max="10" width="17" customWidth="1"/>
    <col min="11" max="11" width="20.25" customWidth="1"/>
    <col min="12" max="12" width="20.375" customWidth="1"/>
    <col min="13" max="14" width="11.125" customWidth="1"/>
    <col min="16" max="16" width="12.625" customWidth="1"/>
    <col min="17" max="17" width="17.625" customWidth="1"/>
    <col min="18" max="18" width="22.25" customWidth="1"/>
    <col min="19" max="19" width="17.125" customWidth="1"/>
  </cols>
  <sheetData>
    <row r="1" spans="1:19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3018</v>
      </c>
      <c r="N1" s="8" t="s">
        <v>3019</v>
      </c>
      <c r="O1" s="8" t="s">
        <v>3020</v>
      </c>
      <c r="P1" s="8" t="s">
        <v>3021</v>
      </c>
      <c r="Q1" s="8" t="s">
        <v>3022</v>
      </c>
      <c r="R1" s="8" t="s">
        <v>3023</v>
      </c>
      <c r="S1" s="8" t="s">
        <v>3024</v>
      </c>
    </row>
    <row r="2" spans="1:19">
      <c r="A2" s="1" t="s">
        <v>12</v>
      </c>
      <c r="B2" s="2">
        <v>496.83</v>
      </c>
      <c r="C2" s="1">
        <v>496.83</v>
      </c>
      <c r="D2" s="1" t="s">
        <v>13</v>
      </c>
      <c r="E2" s="1">
        <v>11</v>
      </c>
      <c r="F2" s="3">
        <v>1600</v>
      </c>
      <c r="G2" s="1">
        <v>4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>
        <f>IF(A2="odmowa", B2,C2)</f>
        <v>496.83</v>
      </c>
      <c r="N2" t="str">
        <f>CONCATENATE("19", MID(D2, 1, 2), "-", MID(D2, 3, 2), "-", MID(D2, 5, 2))</f>
        <v>1980-04-14</v>
      </c>
      <c r="O2">
        <f>YEAR(H2) - YEAR(N2)</f>
        <v>31</v>
      </c>
      <c r="P2" t="str">
        <f>IF(MOD(MID(D2, 10, 1), 2)=0, "kobieta", "mężczyzna")</f>
        <v>kobieta</v>
      </c>
      <c r="Q2">
        <f>(YEAR(H2) - YEAR(I2)) * 12 + MONTH(H2) - MONTH(I2)</f>
        <v>14</v>
      </c>
      <c r="R2">
        <f>IF(LEFT(J2, 4)="0000", 48, MIN(48, (YEAR(J2) - YEAR(H2)) * 12 + MONTH(J2) - MONTH(H2)))</f>
        <v>48</v>
      </c>
      <c r="S2">
        <f ca="1">IF(LEFT(K2, 4)="0000", 0, IF(LEFT(L2, 4)="0000", MAX(0, TODAY() - K2), MAX(0, L2 - K2)))</f>
        <v>48</v>
      </c>
    </row>
    <row r="3" spans="1:19">
      <c r="A3" s="1" t="s">
        <v>19</v>
      </c>
      <c r="B3" s="2">
        <v>200</v>
      </c>
      <c r="C3" s="1">
        <v>200</v>
      </c>
      <c r="D3" s="1" t="s">
        <v>20</v>
      </c>
      <c r="E3" s="1">
        <v>16</v>
      </c>
      <c r="F3" s="3">
        <v>959.6</v>
      </c>
      <c r="G3" s="1">
        <v>4</v>
      </c>
      <c r="H3" s="1" t="s">
        <v>21</v>
      </c>
      <c r="I3" s="1" t="s">
        <v>22</v>
      </c>
      <c r="J3" s="1" t="s">
        <v>16</v>
      </c>
      <c r="K3" s="1" t="s">
        <v>17</v>
      </c>
      <c r="L3" s="1" t="s">
        <v>23</v>
      </c>
      <c r="M3">
        <f t="shared" ref="M3:M66" si="0">IF(A3="odmowa", B3,C3)</f>
        <v>200</v>
      </c>
      <c r="N3" t="str">
        <f t="shared" ref="N3:N66" si="1">CONCATENATE("19", MID(D3, 1, 2), "-", MID(D3, 3, 2), "-", MID(D3, 5, 2))</f>
        <v>1942-12-03</v>
      </c>
      <c r="O3">
        <f>YEAR(H3) - YEAR(N3)</f>
        <v>69</v>
      </c>
      <c r="P3" t="str">
        <f t="shared" ref="P3:P66" si="2">IF(MOD(MID(D3, 10, 1), 2)=0, "kobieta", "mężczyzna")</f>
        <v>kobieta</v>
      </c>
      <c r="Q3">
        <f t="shared" ref="Q3:Q66" si="3">(YEAR(H3) - YEAR(I3)) * 12 + MONTH(H3) - MONTH(I3)</f>
        <v>115</v>
      </c>
      <c r="R3">
        <f t="shared" ref="R3:R66" si="4">IF(LEFT(J3, 4)="0000", 48, MIN(48, (YEAR(J3) - YEAR(H3)) * 12 + MONTH(J3) - MONTH(H3)))</f>
        <v>48</v>
      </c>
      <c r="S3">
        <f t="shared" ref="S3:S66" ca="1" si="5">IF(LEFT(K3, 4)="0000", 0, IF(LEFT(L3, 4)="0000", MAX(0, TODAY() - K3), MAX(0, L3 - K3)))</f>
        <v>0</v>
      </c>
    </row>
    <row r="4" spans="1:19">
      <c r="A4" s="1" t="s">
        <v>24</v>
      </c>
      <c r="B4" s="2">
        <v>500</v>
      </c>
      <c r="C4" s="1">
        <v>0</v>
      </c>
      <c r="D4" s="1" t="s">
        <v>25</v>
      </c>
      <c r="E4" s="1">
        <v>11</v>
      </c>
      <c r="F4" s="3">
        <v>1031</v>
      </c>
      <c r="G4" s="1">
        <v>0</v>
      </c>
      <c r="H4" s="1" t="s">
        <v>26</v>
      </c>
      <c r="I4" s="1" t="s">
        <v>27</v>
      </c>
      <c r="J4" s="1" t="s">
        <v>16</v>
      </c>
      <c r="K4" s="1" t="s">
        <v>16</v>
      </c>
      <c r="L4" s="1" t="s">
        <v>28</v>
      </c>
      <c r="M4">
        <f t="shared" si="0"/>
        <v>500</v>
      </c>
      <c r="N4" t="str">
        <f t="shared" si="1"/>
        <v>1962-06-13</v>
      </c>
      <c r="O4">
        <f t="shared" ref="O3:O66" si="6">YEAR(H4) - YEAR(N4)</f>
        <v>49</v>
      </c>
      <c r="P4" t="str">
        <f t="shared" si="2"/>
        <v>mężczyzna</v>
      </c>
      <c r="Q4">
        <f t="shared" si="3"/>
        <v>3</v>
      </c>
      <c r="R4">
        <f t="shared" si="4"/>
        <v>48</v>
      </c>
      <c r="S4">
        <f t="shared" ca="1" si="5"/>
        <v>0</v>
      </c>
    </row>
    <row r="5" spans="1:19">
      <c r="A5" s="1" t="s">
        <v>19</v>
      </c>
      <c r="B5" s="2">
        <v>400</v>
      </c>
      <c r="C5" s="1">
        <v>400</v>
      </c>
      <c r="D5" s="1" t="s">
        <v>29</v>
      </c>
      <c r="E5" s="1">
        <v>13</v>
      </c>
      <c r="F5" s="3">
        <v>1170</v>
      </c>
      <c r="G5" s="1">
        <v>3</v>
      </c>
      <c r="H5" s="1" t="s">
        <v>30</v>
      </c>
      <c r="I5" s="1" t="s">
        <v>31</v>
      </c>
      <c r="J5" s="1" t="s">
        <v>16</v>
      </c>
      <c r="K5" s="1" t="s">
        <v>17</v>
      </c>
      <c r="L5" s="1" t="s">
        <v>23</v>
      </c>
      <c r="M5">
        <f t="shared" si="0"/>
        <v>400</v>
      </c>
      <c r="N5" t="str">
        <f t="shared" si="1"/>
        <v>1950-11-21</v>
      </c>
      <c r="O5">
        <f t="shared" si="6"/>
        <v>61</v>
      </c>
      <c r="P5" t="str">
        <f t="shared" si="2"/>
        <v>kobieta</v>
      </c>
      <c r="Q5">
        <f t="shared" si="3"/>
        <v>78</v>
      </c>
      <c r="R5">
        <f t="shared" si="4"/>
        <v>48</v>
      </c>
      <c r="S5">
        <f t="shared" ca="1" si="5"/>
        <v>0</v>
      </c>
    </row>
    <row r="6" spans="1:19">
      <c r="A6" s="1" t="s">
        <v>19</v>
      </c>
      <c r="B6" s="2">
        <v>200</v>
      </c>
      <c r="C6" s="1">
        <v>200</v>
      </c>
      <c r="D6" s="1" t="s">
        <v>32</v>
      </c>
      <c r="E6" s="1">
        <v>11</v>
      </c>
      <c r="F6" s="3">
        <v>1172.2</v>
      </c>
      <c r="G6" s="1">
        <v>4</v>
      </c>
      <c r="H6" s="1" t="s">
        <v>33</v>
      </c>
      <c r="I6" s="1" t="s">
        <v>34</v>
      </c>
      <c r="J6" s="1" t="s">
        <v>16</v>
      </c>
      <c r="K6" s="1" t="s">
        <v>17</v>
      </c>
      <c r="L6" s="1" t="s">
        <v>35</v>
      </c>
      <c r="M6">
        <f t="shared" si="0"/>
        <v>200</v>
      </c>
      <c r="N6" t="str">
        <f t="shared" si="1"/>
        <v>1955-08-21</v>
      </c>
      <c r="O6">
        <f t="shared" si="6"/>
        <v>56</v>
      </c>
      <c r="P6" t="str">
        <f t="shared" si="2"/>
        <v>kobieta</v>
      </c>
      <c r="Q6">
        <f t="shared" si="3"/>
        <v>37</v>
      </c>
      <c r="R6">
        <f t="shared" si="4"/>
        <v>48</v>
      </c>
      <c r="S6">
        <f t="shared" ca="1" si="5"/>
        <v>2</v>
      </c>
    </row>
    <row r="7" spans="1:19">
      <c r="A7" s="1" t="s">
        <v>12</v>
      </c>
      <c r="B7" s="2">
        <v>321.20999999999998</v>
      </c>
      <c r="C7" s="1">
        <v>321.20999999999998</v>
      </c>
      <c r="D7" s="1" t="s">
        <v>36</v>
      </c>
      <c r="E7" s="1">
        <v>16</v>
      </c>
      <c r="F7" s="3">
        <v>892</v>
      </c>
      <c r="G7" s="1">
        <v>3</v>
      </c>
      <c r="H7" s="1" t="s">
        <v>37</v>
      </c>
      <c r="I7" s="1" t="s">
        <v>38</v>
      </c>
      <c r="J7" s="1" t="s">
        <v>16</v>
      </c>
      <c r="K7" s="1" t="s">
        <v>17</v>
      </c>
      <c r="L7" s="1" t="s">
        <v>39</v>
      </c>
      <c r="M7">
        <f t="shared" si="0"/>
        <v>321.20999999999998</v>
      </c>
      <c r="N7" t="str">
        <f t="shared" si="1"/>
        <v>1946-01-22</v>
      </c>
      <c r="O7">
        <f t="shared" si="6"/>
        <v>65</v>
      </c>
      <c r="P7" t="str">
        <f t="shared" si="2"/>
        <v>kobieta</v>
      </c>
      <c r="Q7">
        <f t="shared" si="3"/>
        <v>201</v>
      </c>
      <c r="R7">
        <f t="shared" si="4"/>
        <v>48</v>
      </c>
      <c r="S7">
        <f t="shared" ca="1" si="5"/>
        <v>0</v>
      </c>
    </row>
    <row r="8" spans="1:19">
      <c r="A8" s="1" t="s">
        <v>12</v>
      </c>
      <c r="B8" s="2">
        <v>1070</v>
      </c>
      <c r="C8" s="1">
        <v>1070</v>
      </c>
      <c r="D8" s="1" t="s">
        <v>40</v>
      </c>
      <c r="E8" s="1">
        <v>13</v>
      </c>
      <c r="F8" s="3">
        <v>2421.5500000000002</v>
      </c>
      <c r="G8" s="1">
        <v>1</v>
      </c>
      <c r="H8" s="1" t="s">
        <v>41</v>
      </c>
      <c r="I8" s="1" t="s">
        <v>42</v>
      </c>
      <c r="J8" s="1" t="s">
        <v>16</v>
      </c>
      <c r="K8" s="1" t="s">
        <v>17</v>
      </c>
      <c r="L8" s="1" t="s">
        <v>43</v>
      </c>
      <c r="M8">
        <f t="shared" si="0"/>
        <v>1070</v>
      </c>
      <c r="N8" t="str">
        <f t="shared" si="1"/>
        <v>1931-12-21</v>
      </c>
      <c r="O8">
        <f t="shared" si="6"/>
        <v>80</v>
      </c>
      <c r="P8" t="str">
        <f t="shared" si="2"/>
        <v>kobieta</v>
      </c>
      <c r="Q8">
        <f t="shared" si="3"/>
        <v>245</v>
      </c>
      <c r="R8">
        <f t="shared" si="4"/>
        <v>48</v>
      </c>
      <c r="S8">
        <f t="shared" ca="1" si="5"/>
        <v>0</v>
      </c>
    </row>
    <row r="9" spans="1:19">
      <c r="A9" s="1" t="s">
        <v>19</v>
      </c>
      <c r="B9" s="2">
        <v>400</v>
      </c>
      <c r="C9" s="1">
        <v>250</v>
      </c>
      <c r="D9" s="1" t="s">
        <v>44</v>
      </c>
      <c r="E9" s="1">
        <v>17</v>
      </c>
      <c r="F9" s="3">
        <v>864.6</v>
      </c>
      <c r="G9" s="1">
        <v>0</v>
      </c>
      <c r="H9" s="1" t="s">
        <v>45</v>
      </c>
      <c r="I9" s="1" t="s">
        <v>46</v>
      </c>
      <c r="J9" s="1" t="s">
        <v>47</v>
      </c>
      <c r="K9" s="1" t="s">
        <v>17</v>
      </c>
      <c r="L9" s="1" t="s">
        <v>35</v>
      </c>
      <c r="M9">
        <f t="shared" si="0"/>
        <v>250</v>
      </c>
      <c r="N9" t="str">
        <f t="shared" si="1"/>
        <v>1957-12-19</v>
      </c>
      <c r="O9">
        <f t="shared" si="6"/>
        <v>54</v>
      </c>
      <c r="P9" t="str">
        <f t="shared" si="2"/>
        <v>kobieta</v>
      </c>
      <c r="Q9">
        <f t="shared" si="3"/>
        <v>2</v>
      </c>
      <c r="R9">
        <f t="shared" si="4"/>
        <v>5</v>
      </c>
      <c r="S9">
        <f t="shared" ca="1" si="5"/>
        <v>2</v>
      </c>
    </row>
    <row r="10" spans="1:19">
      <c r="A10" s="1" t="s">
        <v>19</v>
      </c>
      <c r="B10" s="2">
        <v>300</v>
      </c>
      <c r="C10" s="1">
        <v>300</v>
      </c>
      <c r="D10" s="1" t="s">
        <v>48</v>
      </c>
      <c r="E10" s="1">
        <v>13</v>
      </c>
      <c r="F10" s="3">
        <v>1130</v>
      </c>
      <c r="G10" s="1">
        <v>4</v>
      </c>
      <c r="H10" s="1" t="s">
        <v>49</v>
      </c>
      <c r="I10" s="1" t="s">
        <v>50</v>
      </c>
      <c r="J10" s="1" t="s">
        <v>16</v>
      </c>
      <c r="K10" s="1" t="s">
        <v>17</v>
      </c>
      <c r="L10" s="1" t="s">
        <v>51</v>
      </c>
      <c r="M10">
        <f t="shared" si="0"/>
        <v>300</v>
      </c>
      <c r="N10" t="str">
        <f t="shared" si="1"/>
        <v>1949-05-20</v>
      </c>
      <c r="O10">
        <f t="shared" si="6"/>
        <v>62</v>
      </c>
      <c r="P10" t="str">
        <f t="shared" si="2"/>
        <v>kobieta</v>
      </c>
      <c r="Q10">
        <f t="shared" si="3"/>
        <v>103</v>
      </c>
      <c r="R10">
        <f t="shared" si="4"/>
        <v>48</v>
      </c>
      <c r="S10">
        <f t="shared" ca="1" si="5"/>
        <v>3</v>
      </c>
    </row>
    <row r="11" spans="1:19">
      <c r="A11" s="1" t="s">
        <v>12</v>
      </c>
      <c r="B11" s="2">
        <v>300</v>
      </c>
      <c r="C11" s="1">
        <v>200</v>
      </c>
      <c r="D11" s="1" t="s">
        <v>52</v>
      </c>
      <c r="E11" s="1">
        <v>12</v>
      </c>
      <c r="F11" s="3">
        <v>990.34</v>
      </c>
      <c r="G11" s="1">
        <v>3</v>
      </c>
      <c r="H11" s="1" t="s">
        <v>53</v>
      </c>
      <c r="I11" s="1" t="s">
        <v>54</v>
      </c>
      <c r="J11" s="1" t="s">
        <v>55</v>
      </c>
      <c r="K11" s="1" t="s">
        <v>17</v>
      </c>
      <c r="L11" s="1" t="s">
        <v>51</v>
      </c>
      <c r="M11">
        <f t="shared" si="0"/>
        <v>200</v>
      </c>
      <c r="N11" t="str">
        <f t="shared" si="1"/>
        <v>1965-07-22</v>
      </c>
      <c r="O11">
        <f t="shared" si="6"/>
        <v>46</v>
      </c>
      <c r="P11" t="str">
        <f t="shared" si="2"/>
        <v>kobieta</v>
      </c>
      <c r="Q11">
        <f t="shared" si="3"/>
        <v>56</v>
      </c>
      <c r="R11">
        <f t="shared" si="4"/>
        <v>16</v>
      </c>
      <c r="S11">
        <f t="shared" ca="1" si="5"/>
        <v>3</v>
      </c>
    </row>
    <row r="12" spans="1:19">
      <c r="A12" s="1" t="s">
        <v>56</v>
      </c>
      <c r="B12" s="2">
        <v>1075.6199999999999</v>
      </c>
      <c r="C12" s="1">
        <v>1075.6199999999999</v>
      </c>
      <c r="D12" s="1" t="s">
        <v>57</v>
      </c>
      <c r="E12" s="1">
        <v>11</v>
      </c>
      <c r="F12" s="3">
        <v>2875.71</v>
      </c>
      <c r="G12" s="1">
        <v>4</v>
      </c>
      <c r="H12" s="1" t="s">
        <v>58</v>
      </c>
      <c r="I12" s="1" t="s">
        <v>59</v>
      </c>
      <c r="J12" s="1" t="s">
        <v>16</v>
      </c>
      <c r="K12" s="1" t="s">
        <v>17</v>
      </c>
      <c r="L12" s="1" t="s">
        <v>28</v>
      </c>
      <c r="M12">
        <f t="shared" si="0"/>
        <v>1075.6199999999999</v>
      </c>
      <c r="N12" t="str">
        <f t="shared" si="1"/>
        <v>1969-06-04</v>
      </c>
      <c r="O12">
        <f t="shared" si="6"/>
        <v>42</v>
      </c>
      <c r="P12" t="str">
        <f t="shared" si="2"/>
        <v>mężczyzna</v>
      </c>
      <c r="Q12">
        <f t="shared" si="3"/>
        <v>278</v>
      </c>
      <c r="R12">
        <f t="shared" si="4"/>
        <v>48</v>
      </c>
      <c r="S12">
        <f t="shared" ca="1" si="5"/>
        <v>5274</v>
      </c>
    </row>
    <row r="13" spans="1:19">
      <c r="A13" s="1" t="s">
        <v>19</v>
      </c>
      <c r="B13" s="2">
        <v>286.94</v>
      </c>
      <c r="C13" s="1">
        <v>286.94</v>
      </c>
      <c r="D13" s="1" t="s">
        <v>60</v>
      </c>
      <c r="E13" s="1">
        <v>12</v>
      </c>
      <c r="F13" s="3">
        <v>1050</v>
      </c>
      <c r="G13" s="1">
        <v>3</v>
      </c>
      <c r="H13" s="1" t="s">
        <v>61</v>
      </c>
      <c r="I13" s="1" t="s">
        <v>62</v>
      </c>
      <c r="J13" s="1" t="s">
        <v>63</v>
      </c>
      <c r="K13" s="1" t="s">
        <v>17</v>
      </c>
      <c r="L13" s="1" t="s">
        <v>35</v>
      </c>
      <c r="M13">
        <f t="shared" si="0"/>
        <v>286.94</v>
      </c>
      <c r="N13" t="str">
        <f t="shared" si="1"/>
        <v>1959-09-11</v>
      </c>
      <c r="O13">
        <f t="shared" si="6"/>
        <v>52</v>
      </c>
      <c r="P13" t="str">
        <f t="shared" si="2"/>
        <v>kobieta</v>
      </c>
      <c r="Q13">
        <f t="shared" si="3"/>
        <v>34</v>
      </c>
      <c r="R13">
        <f t="shared" si="4"/>
        <v>2</v>
      </c>
      <c r="S13">
        <f t="shared" ca="1" si="5"/>
        <v>2</v>
      </c>
    </row>
    <row r="14" spans="1:19">
      <c r="A14" s="1" t="s">
        <v>19</v>
      </c>
      <c r="B14" s="2">
        <v>300</v>
      </c>
      <c r="C14" s="1">
        <v>300</v>
      </c>
      <c r="D14" s="1" t="s">
        <v>64</v>
      </c>
      <c r="E14" s="1">
        <v>13</v>
      </c>
      <c r="F14" s="3">
        <v>997</v>
      </c>
      <c r="G14" s="1">
        <v>4</v>
      </c>
      <c r="H14" s="1" t="s">
        <v>65</v>
      </c>
      <c r="I14" s="1" t="s">
        <v>66</v>
      </c>
      <c r="J14" s="1" t="s">
        <v>16</v>
      </c>
      <c r="K14" s="1" t="s">
        <v>17</v>
      </c>
      <c r="L14" s="1" t="s">
        <v>23</v>
      </c>
      <c r="M14">
        <f t="shared" si="0"/>
        <v>300</v>
      </c>
      <c r="N14" t="str">
        <f t="shared" si="1"/>
        <v>1950-01-10</v>
      </c>
      <c r="O14">
        <f t="shared" si="6"/>
        <v>61</v>
      </c>
      <c r="P14" t="str">
        <f t="shared" si="2"/>
        <v>kobieta</v>
      </c>
      <c r="Q14">
        <f t="shared" si="3"/>
        <v>79</v>
      </c>
      <c r="R14">
        <f t="shared" si="4"/>
        <v>48</v>
      </c>
      <c r="S14">
        <f t="shared" ca="1" si="5"/>
        <v>0</v>
      </c>
    </row>
    <row r="15" spans="1:19">
      <c r="A15" s="1" t="s">
        <v>12</v>
      </c>
      <c r="B15" s="2">
        <v>200</v>
      </c>
      <c r="C15" s="1">
        <v>200</v>
      </c>
      <c r="D15" s="1" t="s">
        <v>67</v>
      </c>
      <c r="E15" s="1">
        <v>13</v>
      </c>
      <c r="F15" s="3">
        <v>1428.55</v>
      </c>
      <c r="G15" s="1">
        <v>4</v>
      </c>
      <c r="H15" s="1" t="s">
        <v>68</v>
      </c>
      <c r="I15" s="1" t="s">
        <v>69</v>
      </c>
      <c r="J15" s="1" t="s">
        <v>16</v>
      </c>
      <c r="K15" s="1" t="s">
        <v>17</v>
      </c>
      <c r="L15" s="1" t="s">
        <v>70</v>
      </c>
      <c r="M15">
        <f t="shared" si="0"/>
        <v>200</v>
      </c>
      <c r="N15" t="str">
        <f t="shared" si="1"/>
        <v>1945-05-17</v>
      </c>
      <c r="O15">
        <f t="shared" si="6"/>
        <v>66</v>
      </c>
      <c r="P15" t="str">
        <f t="shared" si="2"/>
        <v>kobieta</v>
      </c>
      <c r="Q15">
        <f t="shared" si="3"/>
        <v>137</v>
      </c>
      <c r="R15">
        <f t="shared" si="4"/>
        <v>48</v>
      </c>
      <c r="S15">
        <f t="shared" ca="1" si="5"/>
        <v>4</v>
      </c>
    </row>
    <row r="16" spans="1:19">
      <c r="A16" s="1" t="s">
        <v>19</v>
      </c>
      <c r="B16" s="2">
        <v>693.7</v>
      </c>
      <c r="C16" s="1">
        <v>693.7</v>
      </c>
      <c r="D16" s="1" t="s">
        <v>71</v>
      </c>
      <c r="E16" s="1">
        <v>11</v>
      </c>
      <c r="F16" s="3">
        <v>1900</v>
      </c>
      <c r="G16" s="1">
        <v>0</v>
      </c>
      <c r="H16" s="1" t="s">
        <v>72</v>
      </c>
      <c r="I16" s="1" t="s">
        <v>73</v>
      </c>
      <c r="J16" s="1" t="s">
        <v>16</v>
      </c>
      <c r="K16" s="1" t="s">
        <v>17</v>
      </c>
      <c r="L16" s="1" t="s">
        <v>23</v>
      </c>
      <c r="M16">
        <f t="shared" si="0"/>
        <v>693.7</v>
      </c>
      <c r="N16" t="str">
        <f t="shared" si="1"/>
        <v>1973-03-29</v>
      </c>
      <c r="O16">
        <f t="shared" si="6"/>
        <v>38</v>
      </c>
      <c r="P16" t="str">
        <f t="shared" si="2"/>
        <v>kobieta</v>
      </c>
      <c r="Q16">
        <f t="shared" si="3"/>
        <v>208</v>
      </c>
      <c r="R16">
        <f t="shared" si="4"/>
        <v>48</v>
      </c>
      <c r="S16">
        <f t="shared" ca="1" si="5"/>
        <v>0</v>
      </c>
    </row>
    <row r="17" spans="1:19">
      <c r="A17" s="1" t="s">
        <v>19</v>
      </c>
      <c r="B17" s="2">
        <v>300</v>
      </c>
      <c r="C17" s="1">
        <v>300</v>
      </c>
      <c r="D17" s="1" t="s">
        <v>74</v>
      </c>
      <c r="E17" s="1">
        <v>13</v>
      </c>
      <c r="F17" s="3">
        <v>1300</v>
      </c>
      <c r="G17" s="1">
        <v>1</v>
      </c>
      <c r="H17" s="1" t="s">
        <v>75</v>
      </c>
      <c r="I17" s="1" t="s">
        <v>76</v>
      </c>
      <c r="J17" s="1" t="s">
        <v>16</v>
      </c>
      <c r="K17" s="1" t="s">
        <v>17</v>
      </c>
      <c r="L17" s="1" t="s">
        <v>77</v>
      </c>
      <c r="M17">
        <f t="shared" si="0"/>
        <v>300</v>
      </c>
      <c r="N17" t="str">
        <f t="shared" si="1"/>
        <v>1934-02-01</v>
      </c>
      <c r="O17">
        <f t="shared" si="6"/>
        <v>77</v>
      </c>
      <c r="P17" t="str">
        <f t="shared" si="2"/>
        <v>kobieta</v>
      </c>
      <c r="Q17">
        <f t="shared" si="3"/>
        <v>193</v>
      </c>
      <c r="R17">
        <f t="shared" si="4"/>
        <v>48</v>
      </c>
      <c r="S17">
        <f t="shared" ca="1" si="5"/>
        <v>0</v>
      </c>
    </row>
    <row r="18" spans="1:19">
      <c r="A18" s="1" t="s">
        <v>19</v>
      </c>
      <c r="B18" s="2">
        <v>200</v>
      </c>
      <c r="C18" s="1">
        <v>200</v>
      </c>
      <c r="D18" s="1" t="s">
        <v>78</v>
      </c>
      <c r="E18" s="1">
        <v>13</v>
      </c>
      <c r="F18" s="3">
        <v>730</v>
      </c>
      <c r="G18" s="1">
        <v>3</v>
      </c>
      <c r="H18" s="1" t="s">
        <v>79</v>
      </c>
      <c r="I18" s="1" t="s">
        <v>80</v>
      </c>
      <c r="J18" s="1" t="s">
        <v>16</v>
      </c>
      <c r="K18" s="1" t="s">
        <v>17</v>
      </c>
      <c r="L18" s="1" t="s">
        <v>51</v>
      </c>
      <c r="M18">
        <f t="shared" si="0"/>
        <v>200</v>
      </c>
      <c r="N18" t="str">
        <f t="shared" si="1"/>
        <v>1939-08-25</v>
      </c>
      <c r="O18">
        <f t="shared" si="6"/>
        <v>72</v>
      </c>
      <c r="P18" t="str">
        <f t="shared" si="2"/>
        <v>kobieta</v>
      </c>
      <c r="Q18">
        <f t="shared" si="3"/>
        <v>561</v>
      </c>
      <c r="R18">
        <f t="shared" si="4"/>
        <v>48</v>
      </c>
      <c r="S18">
        <f t="shared" ca="1" si="5"/>
        <v>3</v>
      </c>
    </row>
    <row r="19" spans="1:19">
      <c r="A19" s="1" t="s">
        <v>12</v>
      </c>
      <c r="B19" s="2">
        <v>600</v>
      </c>
      <c r="C19" s="1">
        <v>600</v>
      </c>
      <c r="D19" s="1" t="s">
        <v>81</v>
      </c>
      <c r="E19" s="1">
        <v>13</v>
      </c>
      <c r="F19" s="3">
        <v>1217</v>
      </c>
      <c r="G19" s="1">
        <v>1</v>
      </c>
      <c r="H19" s="1" t="s">
        <v>82</v>
      </c>
      <c r="I19" s="1" t="s">
        <v>83</v>
      </c>
      <c r="J19" s="1" t="s">
        <v>16</v>
      </c>
      <c r="K19" s="1" t="s">
        <v>17</v>
      </c>
      <c r="L19" s="1" t="s">
        <v>39</v>
      </c>
      <c r="M19">
        <f t="shared" si="0"/>
        <v>600</v>
      </c>
      <c r="N19" t="str">
        <f t="shared" si="1"/>
        <v>1946-04-16</v>
      </c>
      <c r="O19">
        <f t="shared" si="6"/>
        <v>65</v>
      </c>
      <c r="P19" t="str">
        <f t="shared" si="2"/>
        <v>mężczyzna</v>
      </c>
      <c r="Q19">
        <f t="shared" si="3"/>
        <v>51</v>
      </c>
      <c r="R19">
        <f t="shared" si="4"/>
        <v>48</v>
      </c>
      <c r="S19">
        <f t="shared" ca="1" si="5"/>
        <v>0</v>
      </c>
    </row>
    <row r="20" spans="1:19">
      <c r="A20" s="1" t="s">
        <v>19</v>
      </c>
      <c r="B20" s="2">
        <v>426.61</v>
      </c>
      <c r="C20" s="1">
        <v>426.61</v>
      </c>
      <c r="D20" s="1" t="s">
        <v>84</v>
      </c>
      <c r="E20" s="1">
        <v>11</v>
      </c>
      <c r="F20" s="3">
        <v>2470</v>
      </c>
      <c r="G20" s="1">
        <v>5</v>
      </c>
      <c r="H20" s="1" t="s">
        <v>85</v>
      </c>
      <c r="I20" s="1" t="s">
        <v>86</v>
      </c>
      <c r="J20" s="1" t="s">
        <v>16</v>
      </c>
      <c r="K20" s="1" t="s">
        <v>17</v>
      </c>
      <c r="L20" s="1" t="s">
        <v>35</v>
      </c>
      <c r="M20">
        <f t="shared" si="0"/>
        <v>426.61</v>
      </c>
      <c r="N20" t="str">
        <f t="shared" si="1"/>
        <v>1962-02-13</v>
      </c>
      <c r="O20">
        <f t="shared" si="6"/>
        <v>49</v>
      </c>
      <c r="P20" t="str">
        <f t="shared" si="2"/>
        <v>kobieta</v>
      </c>
      <c r="Q20">
        <f t="shared" si="3"/>
        <v>354</v>
      </c>
      <c r="R20">
        <f t="shared" si="4"/>
        <v>48</v>
      </c>
      <c r="S20">
        <f t="shared" ca="1" si="5"/>
        <v>2</v>
      </c>
    </row>
    <row r="21" spans="1:19">
      <c r="A21" s="1" t="s">
        <v>12</v>
      </c>
      <c r="B21" s="2">
        <v>200</v>
      </c>
      <c r="C21" s="1">
        <v>200</v>
      </c>
      <c r="D21" s="1" t="s">
        <v>87</v>
      </c>
      <c r="E21" s="1">
        <v>99</v>
      </c>
      <c r="F21" s="3">
        <v>598</v>
      </c>
      <c r="G21" s="1">
        <v>1</v>
      </c>
      <c r="H21" s="1" t="s">
        <v>88</v>
      </c>
      <c r="I21" s="1" t="s">
        <v>89</v>
      </c>
      <c r="J21" s="1" t="s">
        <v>90</v>
      </c>
      <c r="K21" s="1" t="s">
        <v>17</v>
      </c>
      <c r="L21" s="1" t="s">
        <v>51</v>
      </c>
      <c r="M21">
        <f t="shared" si="0"/>
        <v>200</v>
      </c>
      <c r="N21" t="str">
        <f t="shared" si="1"/>
        <v>1959-11-14</v>
      </c>
      <c r="O21">
        <f t="shared" si="6"/>
        <v>52</v>
      </c>
      <c r="P21" t="str">
        <f t="shared" si="2"/>
        <v>kobieta</v>
      </c>
      <c r="Q21">
        <f t="shared" si="3"/>
        <v>3</v>
      </c>
      <c r="R21">
        <f t="shared" si="4"/>
        <v>3</v>
      </c>
      <c r="S21">
        <f t="shared" ca="1" si="5"/>
        <v>3</v>
      </c>
    </row>
    <row r="22" spans="1:19">
      <c r="A22" s="1" t="s">
        <v>19</v>
      </c>
      <c r="B22" s="2">
        <v>300</v>
      </c>
      <c r="C22" s="1">
        <v>300</v>
      </c>
      <c r="D22" s="1" t="s">
        <v>91</v>
      </c>
      <c r="E22" s="1">
        <v>11</v>
      </c>
      <c r="F22" s="3">
        <v>1700</v>
      </c>
      <c r="G22" s="1">
        <v>4</v>
      </c>
      <c r="H22" s="1" t="s">
        <v>92</v>
      </c>
      <c r="I22" s="1" t="s">
        <v>93</v>
      </c>
      <c r="J22" s="1" t="s">
        <v>16</v>
      </c>
      <c r="K22" s="1" t="s">
        <v>17</v>
      </c>
      <c r="L22" s="1" t="s">
        <v>70</v>
      </c>
      <c r="M22">
        <f t="shared" si="0"/>
        <v>300</v>
      </c>
      <c r="N22" t="str">
        <f t="shared" si="1"/>
        <v>1957-10-02</v>
      </c>
      <c r="O22">
        <f t="shared" si="6"/>
        <v>54</v>
      </c>
      <c r="P22" t="str">
        <f t="shared" si="2"/>
        <v>mężczyzna</v>
      </c>
      <c r="Q22">
        <f t="shared" si="3"/>
        <v>39</v>
      </c>
      <c r="R22">
        <f t="shared" si="4"/>
        <v>48</v>
      </c>
      <c r="S22">
        <f t="shared" ca="1" si="5"/>
        <v>4</v>
      </c>
    </row>
    <row r="23" spans="1:19">
      <c r="A23" s="1" t="s">
        <v>19</v>
      </c>
      <c r="B23" s="2">
        <v>1000</v>
      </c>
      <c r="C23" s="1">
        <v>400</v>
      </c>
      <c r="D23" s="1" t="s">
        <v>94</v>
      </c>
      <c r="E23" s="1">
        <v>16</v>
      </c>
      <c r="F23" s="3">
        <v>1589</v>
      </c>
      <c r="G23" s="1">
        <v>0</v>
      </c>
      <c r="H23" s="1" t="s">
        <v>95</v>
      </c>
      <c r="I23" s="1" t="s">
        <v>96</v>
      </c>
      <c r="J23" s="1" t="s">
        <v>16</v>
      </c>
      <c r="K23" s="1" t="s">
        <v>17</v>
      </c>
      <c r="L23" s="1" t="s">
        <v>51</v>
      </c>
      <c r="M23">
        <f t="shared" si="0"/>
        <v>400</v>
      </c>
      <c r="N23" t="str">
        <f t="shared" si="1"/>
        <v>1953-10-11</v>
      </c>
      <c r="O23">
        <f t="shared" si="6"/>
        <v>58</v>
      </c>
      <c r="P23" t="str">
        <f t="shared" si="2"/>
        <v>kobieta</v>
      </c>
      <c r="Q23">
        <f t="shared" si="3"/>
        <v>27</v>
      </c>
      <c r="R23">
        <f t="shared" si="4"/>
        <v>48</v>
      </c>
      <c r="S23">
        <f t="shared" ca="1" si="5"/>
        <v>3</v>
      </c>
    </row>
    <row r="24" spans="1:19">
      <c r="A24" s="1" t="s">
        <v>12</v>
      </c>
      <c r="B24" s="2">
        <v>500</v>
      </c>
      <c r="C24" s="1">
        <v>500</v>
      </c>
      <c r="D24" s="1" t="s">
        <v>97</v>
      </c>
      <c r="E24" s="1">
        <v>13</v>
      </c>
      <c r="F24" s="3">
        <v>1530</v>
      </c>
      <c r="G24" s="1">
        <v>0</v>
      </c>
      <c r="H24" s="1" t="s">
        <v>98</v>
      </c>
      <c r="I24" s="1" t="s">
        <v>99</v>
      </c>
      <c r="J24" s="1" t="s">
        <v>16</v>
      </c>
      <c r="K24" s="1" t="s">
        <v>17</v>
      </c>
      <c r="L24" s="1" t="s">
        <v>100</v>
      </c>
      <c r="M24">
        <f t="shared" si="0"/>
        <v>500</v>
      </c>
      <c r="N24" t="str">
        <f t="shared" si="1"/>
        <v>1954-01-12</v>
      </c>
      <c r="O24">
        <f t="shared" si="6"/>
        <v>57</v>
      </c>
      <c r="P24" t="str">
        <f t="shared" si="2"/>
        <v>kobieta</v>
      </c>
      <c r="Q24">
        <f t="shared" si="3"/>
        <v>25</v>
      </c>
      <c r="R24">
        <f t="shared" si="4"/>
        <v>48</v>
      </c>
      <c r="S24">
        <f t="shared" ca="1" si="5"/>
        <v>0</v>
      </c>
    </row>
    <row r="25" spans="1:19">
      <c r="A25" s="1" t="s">
        <v>19</v>
      </c>
      <c r="B25" s="2">
        <v>400</v>
      </c>
      <c r="C25" s="1">
        <v>400</v>
      </c>
      <c r="D25" s="1" t="s">
        <v>101</v>
      </c>
      <c r="E25" s="1">
        <v>11</v>
      </c>
      <c r="F25" s="3">
        <v>4000</v>
      </c>
      <c r="G25" s="1">
        <v>5</v>
      </c>
      <c r="H25" s="1" t="s">
        <v>102</v>
      </c>
      <c r="I25" s="1" t="s">
        <v>103</v>
      </c>
      <c r="J25" s="1" t="s">
        <v>16</v>
      </c>
      <c r="K25" s="1" t="s">
        <v>17</v>
      </c>
      <c r="L25" s="1" t="s">
        <v>51</v>
      </c>
      <c r="M25">
        <f t="shared" si="0"/>
        <v>400</v>
      </c>
      <c r="N25" t="str">
        <f t="shared" si="1"/>
        <v>1958-01-12</v>
      </c>
      <c r="O25">
        <f t="shared" si="6"/>
        <v>53</v>
      </c>
      <c r="P25" t="str">
        <f t="shared" si="2"/>
        <v>mężczyzna</v>
      </c>
      <c r="Q25">
        <f t="shared" si="3"/>
        <v>10</v>
      </c>
      <c r="R25">
        <f t="shared" si="4"/>
        <v>48</v>
      </c>
      <c r="S25">
        <f t="shared" ca="1" si="5"/>
        <v>3</v>
      </c>
    </row>
    <row r="26" spans="1:19">
      <c r="A26" s="1" t="s">
        <v>19</v>
      </c>
      <c r="B26" s="2">
        <v>200</v>
      </c>
      <c r="C26" s="1">
        <v>200</v>
      </c>
      <c r="D26" s="1" t="s">
        <v>104</v>
      </c>
      <c r="E26" s="1">
        <v>17</v>
      </c>
      <c r="F26" s="3">
        <v>985</v>
      </c>
      <c r="G26" s="1">
        <v>5</v>
      </c>
      <c r="H26" s="1" t="s">
        <v>105</v>
      </c>
      <c r="I26" s="1" t="s">
        <v>106</v>
      </c>
      <c r="J26" s="1" t="s">
        <v>107</v>
      </c>
      <c r="K26" s="1" t="s">
        <v>17</v>
      </c>
      <c r="L26" s="1" t="s">
        <v>70</v>
      </c>
      <c r="M26">
        <f t="shared" si="0"/>
        <v>200</v>
      </c>
      <c r="N26" t="str">
        <f t="shared" si="1"/>
        <v>1991-01-04</v>
      </c>
      <c r="O26">
        <f t="shared" si="6"/>
        <v>20</v>
      </c>
      <c r="P26" t="str">
        <f t="shared" si="2"/>
        <v>mężczyzna</v>
      </c>
      <c r="Q26">
        <f t="shared" si="3"/>
        <v>13</v>
      </c>
      <c r="R26">
        <f t="shared" si="4"/>
        <v>4</v>
      </c>
      <c r="S26">
        <f t="shared" ca="1" si="5"/>
        <v>4</v>
      </c>
    </row>
    <row r="27" spans="1:19">
      <c r="A27" s="1" t="s">
        <v>19</v>
      </c>
      <c r="B27" s="2">
        <v>500</v>
      </c>
      <c r="C27" s="1">
        <v>500</v>
      </c>
      <c r="D27" s="1" t="s">
        <v>108</v>
      </c>
      <c r="E27" s="1">
        <v>13</v>
      </c>
      <c r="F27" s="3">
        <v>729.03</v>
      </c>
      <c r="G27" s="1">
        <v>5</v>
      </c>
      <c r="H27" s="1" t="s">
        <v>109</v>
      </c>
      <c r="I27" s="1" t="s">
        <v>110</v>
      </c>
      <c r="J27" s="1" t="s">
        <v>16</v>
      </c>
      <c r="K27" s="1" t="s">
        <v>17</v>
      </c>
      <c r="L27" s="1" t="s">
        <v>23</v>
      </c>
      <c r="M27">
        <f t="shared" si="0"/>
        <v>500</v>
      </c>
      <c r="N27" t="str">
        <f t="shared" si="1"/>
        <v>1941-08-29</v>
      </c>
      <c r="O27">
        <f t="shared" si="6"/>
        <v>70</v>
      </c>
      <c r="P27" t="str">
        <f t="shared" si="2"/>
        <v>kobieta</v>
      </c>
      <c r="Q27">
        <f t="shared" si="3"/>
        <v>257</v>
      </c>
      <c r="R27">
        <f t="shared" si="4"/>
        <v>48</v>
      </c>
      <c r="S27">
        <f t="shared" ca="1" si="5"/>
        <v>0</v>
      </c>
    </row>
    <row r="28" spans="1:19">
      <c r="A28" s="1" t="s">
        <v>19</v>
      </c>
      <c r="B28" s="2">
        <v>300</v>
      </c>
      <c r="C28" s="1">
        <v>300</v>
      </c>
      <c r="D28" s="1" t="s">
        <v>111</v>
      </c>
      <c r="E28" s="1">
        <v>13</v>
      </c>
      <c r="F28" s="3">
        <v>611</v>
      </c>
      <c r="G28" s="1">
        <v>3</v>
      </c>
      <c r="H28" s="1" t="s">
        <v>112</v>
      </c>
      <c r="I28" s="1" t="s">
        <v>113</v>
      </c>
      <c r="J28" s="1" t="s">
        <v>16</v>
      </c>
      <c r="K28" s="1" t="s">
        <v>114</v>
      </c>
      <c r="L28" s="1" t="s">
        <v>51</v>
      </c>
      <c r="M28">
        <f t="shared" si="0"/>
        <v>300</v>
      </c>
      <c r="N28" t="str">
        <f t="shared" si="1"/>
        <v>1954-06-09</v>
      </c>
      <c r="O28">
        <f t="shared" si="6"/>
        <v>57</v>
      </c>
      <c r="P28" t="str">
        <f t="shared" si="2"/>
        <v>kobieta</v>
      </c>
      <c r="Q28">
        <f t="shared" si="3"/>
        <v>139</v>
      </c>
      <c r="R28">
        <f t="shared" si="4"/>
        <v>48</v>
      </c>
      <c r="S28">
        <f t="shared" ca="1" si="5"/>
        <v>1</v>
      </c>
    </row>
    <row r="29" spans="1:19">
      <c r="A29" s="1" t="s">
        <v>19</v>
      </c>
      <c r="B29" s="2">
        <v>300</v>
      </c>
      <c r="C29" s="1">
        <v>300</v>
      </c>
      <c r="D29" s="1" t="s">
        <v>115</v>
      </c>
      <c r="E29" s="1">
        <v>11</v>
      </c>
      <c r="F29" s="3">
        <v>3000</v>
      </c>
      <c r="G29" s="1">
        <v>5</v>
      </c>
      <c r="H29" s="1" t="s">
        <v>116</v>
      </c>
      <c r="I29" s="1" t="s">
        <v>117</v>
      </c>
      <c r="J29" s="1" t="s">
        <v>16</v>
      </c>
      <c r="K29" s="1" t="s">
        <v>114</v>
      </c>
      <c r="L29" s="1" t="s">
        <v>118</v>
      </c>
      <c r="M29">
        <f t="shared" si="0"/>
        <v>300</v>
      </c>
      <c r="N29" t="str">
        <f t="shared" si="1"/>
        <v>1951-04-15</v>
      </c>
      <c r="O29">
        <f t="shared" si="6"/>
        <v>60</v>
      </c>
      <c r="P29" t="str">
        <f t="shared" si="2"/>
        <v>mężczyzna</v>
      </c>
      <c r="Q29">
        <f t="shared" si="3"/>
        <v>212</v>
      </c>
      <c r="R29">
        <f t="shared" si="4"/>
        <v>48</v>
      </c>
      <c r="S29">
        <f t="shared" ca="1" si="5"/>
        <v>3</v>
      </c>
    </row>
    <row r="30" spans="1:19">
      <c r="A30" s="1" t="s">
        <v>19</v>
      </c>
      <c r="B30" s="2">
        <v>600</v>
      </c>
      <c r="C30" s="1">
        <v>600</v>
      </c>
      <c r="D30" s="1" t="s">
        <v>119</v>
      </c>
      <c r="E30" s="1">
        <v>11</v>
      </c>
      <c r="F30" s="3">
        <v>1290</v>
      </c>
      <c r="G30" s="1">
        <v>4</v>
      </c>
      <c r="H30" s="1" t="s">
        <v>120</v>
      </c>
      <c r="I30" s="1" t="s">
        <v>121</v>
      </c>
      <c r="J30" s="1" t="s">
        <v>16</v>
      </c>
      <c r="K30" s="1" t="s">
        <v>114</v>
      </c>
      <c r="L30" s="1" t="s">
        <v>35</v>
      </c>
      <c r="M30">
        <f t="shared" si="0"/>
        <v>600</v>
      </c>
      <c r="N30" t="str">
        <f t="shared" si="1"/>
        <v>1979-06-17</v>
      </c>
      <c r="O30">
        <f t="shared" si="6"/>
        <v>32</v>
      </c>
      <c r="P30" t="str">
        <f t="shared" si="2"/>
        <v>kobieta</v>
      </c>
      <c r="Q30">
        <f t="shared" si="3"/>
        <v>19</v>
      </c>
      <c r="R30">
        <f t="shared" si="4"/>
        <v>48</v>
      </c>
      <c r="S30">
        <f t="shared" ca="1" si="5"/>
        <v>0</v>
      </c>
    </row>
    <row r="31" spans="1:19">
      <c r="A31" s="1" t="s">
        <v>12</v>
      </c>
      <c r="B31" s="2">
        <v>297.69</v>
      </c>
      <c r="C31" s="1">
        <v>297.69</v>
      </c>
      <c r="D31" s="1" t="s">
        <v>122</v>
      </c>
      <c r="E31" s="1">
        <v>13</v>
      </c>
      <c r="F31" s="3">
        <v>1014</v>
      </c>
      <c r="G31" s="1">
        <v>0</v>
      </c>
      <c r="H31" s="1" t="s">
        <v>123</v>
      </c>
      <c r="I31" s="1" t="s">
        <v>124</v>
      </c>
      <c r="J31" s="1" t="s">
        <v>16</v>
      </c>
      <c r="K31" s="1" t="s">
        <v>114</v>
      </c>
      <c r="L31" s="1" t="s">
        <v>125</v>
      </c>
      <c r="M31">
        <f t="shared" si="0"/>
        <v>297.69</v>
      </c>
      <c r="N31" t="str">
        <f t="shared" si="1"/>
        <v>1948-02-07</v>
      </c>
      <c r="O31">
        <f t="shared" si="6"/>
        <v>63</v>
      </c>
      <c r="P31" t="str">
        <f t="shared" si="2"/>
        <v>kobieta</v>
      </c>
      <c r="Q31">
        <f t="shared" si="3"/>
        <v>183</v>
      </c>
      <c r="R31">
        <f t="shared" si="4"/>
        <v>48</v>
      </c>
      <c r="S31">
        <f t="shared" ca="1" si="5"/>
        <v>9</v>
      </c>
    </row>
    <row r="32" spans="1:19">
      <c r="A32" s="1" t="s">
        <v>19</v>
      </c>
      <c r="B32" s="2">
        <v>600</v>
      </c>
      <c r="C32" s="1">
        <v>600</v>
      </c>
      <c r="D32" s="1" t="s">
        <v>126</v>
      </c>
      <c r="E32" s="1">
        <v>12</v>
      </c>
      <c r="F32" s="3">
        <v>830.46</v>
      </c>
      <c r="G32" s="1">
        <v>3</v>
      </c>
      <c r="H32" s="1" t="s">
        <v>127</v>
      </c>
      <c r="I32" s="1" t="s">
        <v>128</v>
      </c>
      <c r="J32" s="1" t="s">
        <v>129</v>
      </c>
      <c r="K32" s="1" t="s">
        <v>114</v>
      </c>
      <c r="L32" s="1" t="s">
        <v>130</v>
      </c>
      <c r="M32">
        <f t="shared" si="0"/>
        <v>600</v>
      </c>
      <c r="N32" t="str">
        <f t="shared" si="1"/>
        <v>1964-04-12</v>
      </c>
      <c r="O32">
        <f t="shared" si="6"/>
        <v>47</v>
      </c>
      <c r="P32" t="str">
        <f t="shared" si="2"/>
        <v>kobieta</v>
      </c>
      <c r="Q32">
        <f t="shared" si="3"/>
        <v>45</v>
      </c>
      <c r="R32">
        <f t="shared" si="4"/>
        <v>26</v>
      </c>
      <c r="S32">
        <f t="shared" ca="1" si="5"/>
        <v>4</v>
      </c>
    </row>
    <row r="33" spans="1:19">
      <c r="A33" s="1" t="s">
        <v>19</v>
      </c>
      <c r="B33" s="2">
        <v>300</v>
      </c>
      <c r="C33" s="1">
        <v>300</v>
      </c>
      <c r="D33" s="1" t="s">
        <v>131</v>
      </c>
      <c r="E33" s="1">
        <v>16</v>
      </c>
      <c r="F33" s="3">
        <v>1132</v>
      </c>
      <c r="G33" s="1">
        <v>1</v>
      </c>
      <c r="H33" s="1" t="s">
        <v>132</v>
      </c>
      <c r="I33" s="1" t="s">
        <v>133</v>
      </c>
      <c r="J33" s="1" t="s">
        <v>16</v>
      </c>
      <c r="K33" s="1" t="s">
        <v>114</v>
      </c>
      <c r="L33" s="1" t="s">
        <v>35</v>
      </c>
      <c r="M33">
        <f t="shared" si="0"/>
        <v>300</v>
      </c>
      <c r="N33" t="str">
        <f t="shared" si="1"/>
        <v>1947-06-03</v>
      </c>
      <c r="O33">
        <f t="shared" si="6"/>
        <v>64</v>
      </c>
      <c r="P33" t="str">
        <f t="shared" si="2"/>
        <v>kobieta</v>
      </c>
      <c r="Q33">
        <f t="shared" si="3"/>
        <v>97</v>
      </c>
      <c r="R33">
        <f t="shared" si="4"/>
        <v>48</v>
      </c>
      <c r="S33">
        <f t="shared" ca="1" si="5"/>
        <v>0</v>
      </c>
    </row>
    <row r="34" spans="1:19">
      <c r="A34" s="1" t="s">
        <v>19</v>
      </c>
      <c r="B34" s="2">
        <v>200</v>
      </c>
      <c r="C34" s="1">
        <v>200</v>
      </c>
      <c r="D34" s="1" t="s">
        <v>134</v>
      </c>
      <c r="E34" s="1">
        <v>13</v>
      </c>
      <c r="F34" s="3">
        <v>616</v>
      </c>
      <c r="G34" s="1">
        <v>4</v>
      </c>
      <c r="H34" s="1" t="s">
        <v>135</v>
      </c>
      <c r="I34" s="1" t="s">
        <v>136</v>
      </c>
      <c r="J34" s="1" t="s">
        <v>16</v>
      </c>
      <c r="K34" s="1" t="s">
        <v>114</v>
      </c>
      <c r="L34" s="1" t="s">
        <v>35</v>
      </c>
      <c r="M34">
        <f t="shared" si="0"/>
        <v>200</v>
      </c>
      <c r="N34" t="str">
        <f t="shared" si="1"/>
        <v>1936-04-22</v>
      </c>
      <c r="O34">
        <f t="shared" si="6"/>
        <v>75</v>
      </c>
      <c r="P34" t="str">
        <f t="shared" si="2"/>
        <v>kobieta</v>
      </c>
      <c r="Q34">
        <f t="shared" si="3"/>
        <v>246</v>
      </c>
      <c r="R34">
        <f t="shared" si="4"/>
        <v>48</v>
      </c>
      <c r="S34">
        <f t="shared" ca="1" si="5"/>
        <v>0</v>
      </c>
    </row>
    <row r="35" spans="1:19">
      <c r="A35" s="1" t="s">
        <v>24</v>
      </c>
      <c r="B35" s="2">
        <v>200</v>
      </c>
      <c r="C35" s="1">
        <v>0</v>
      </c>
      <c r="D35" s="1" t="s">
        <v>137</v>
      </c>
      <c r="E35" s="1">
        <v>16</v>
      </c>
      <c r="F35" s="3">
        <v>793.89</v>
      </c>
      <c r="G35" s="1">
        <v>0</v>
      </c>
      <c r="H35" s="1" t="s">
        <v>138</v>
      </c>
      <c r="I35" s="1" t="s">
        <v>139</v>
      </c>
      <c r="J35" s="1" t="s">
        <v>16</v>
      </c>
      <c r="K35" s="1" t="s">
        <v>16</v>
      </c>
      <c r="L35" s="1" t="s">
        <v>28</v>
      </c>
      <c r="M35">
        <f t="shared" si="0"/>
        <v>200</v>
      </c>
      <c r="N35" t="str">
        <f t="shared" si="1"/>
        <v>1977-09-05</v>
      </c>
      <c r="O35">
        <f t="shared" si="6"/>
        <v>34</v>
      </c>
      <c r="P35" t="str">
        <f t="shared" si="2"/>
        <v>kobieta</v>
      </c>
      <c r="Q35">
        <f t="shared" si="3"/>
        <v>203</v>
      </c>
      <c r="R35">
        <f t="shared" si="4"/>
        <v>48</v>
      </c>
      <c r="S35">
        <f t="shared" ca="1" si="5"/>
        <v>0</v>
      </c>
    </row>
    <row r="36" spans="1:19">
      <c r="A36" s="1" t="s">
        <v>19</v>
      </c>
      <c r="B36" s="2">
        <v>300</v>
      </c>
      <c r="C36" s="1">
        <v>300</v>
      </c>
      <c r="D36" s="1" t="s">
        <v>140</v>
      </c>
      <c r="E36" s="1">
        <v>12</v>
      </c>
      <c r="F36" s="3">
        <v>952.89</v>
      </c>
      <c r="G36" s="1">
        <v>0</v>
      </c>
      <c r="H36" s="1" t="s">
        <v>141</v>
      </c>
      <c r="I36" s="1" t="s">
        <v>142</v>
      </c>
      <c r="J36" s="1" t="s">
        <v>90</v>
      </c>
      <c r="K36" s="1" t="s">
        <v>114</v>
      </c>
      <c r="L36" s="1" t="s">
        <v>35</v>
      </c>
      <c r="M36">
        <f t="shared" si="0"/>
        <v>300</v>
      </c>
      <c r="N36" t="str">
        <f t="shared" si="1"/>
        <v>1990-05-21</v>
      </c>
      <c r="O36">
        <f t="shared" si="6"/>
        <v>21</v>
      </c>
      <c r="P36" t="str">
        <f t="shared" si="2"/>
        <v>mężczyzna</v>
      </c>
      <c r="Q36">
        <f t="shared" si="3"/>
        <v>23</v>
      </c>
      <c r="R36">
        <f t="shared" si="4"/>
        <v>3</v>
      </c>
      <c r="S36">
        <f t="shared" ca="1" si="5"/>
        <v>0</v>
      </c>
    </row>
    <row r="37" spans="1:19">
      <c r="A37" s="1" t="s">
        <v>19</v>
      </c>
      <c r="B37" s="2">
        <v>300</v>
      </c>
      <c r="C37" s="1">
        <v>300</v>
      </c>
      <c r="D37" s="1" t="s">
        <v>143</v>
      </c>
      <c r="E37" s="1">
        <v>13</v>
      </c>
      <c r="F37" s="3">
        <v>3900</v>
      </c>
      <c r="G37" s="1">
        <v>5</v>
      </c>
      <c r="H37" s="1" t="s">
        <v>144</v>
      </c>
      <c r="I37" s="1" t="s">
        <v>145</v>
      </c>
      <c r="J37" s="1" t="s">
        <v>16</v>
      </c>
      <c r="K37" s="1" t="s">
        <v>114</v>
      </c>
      <c r="L37" s="1" t="s">
        <v>35</v>
      </c>
      <c r="M37">
        <f t="shared" si="0"/>
        <v>300</v>
      </c>
      <c r="N37" t="str">
        <f t="shared" si="1"/>
        <v>1962-11-23</v>
      </c>
      <c r="O37">
        <f t="shared" si="6"/>
        <v>49</v>
      </c>
      <c r="P37" t="str">
        <f t="shared" si="2"/>
        <v>mężczyzna</v>
      </c>
      <c r="Q37">
        <f t="shared" si="3"/>
        <v>30</v>
      </c>
      <c r="R37">
        <f t="shared" si="4"/>
        <v>48</v>
      </c>
      <c r="S37">
        <f t="shared" ca="1" si="5"/>
        <v>0</v>
      </c>
    </row>
    <row r="38" spans="1:19">
      <c r="A38" s="1" t="s">
        <v>19</v>
      </c>
      <c r="B38" s="2">
        <v>300</v>
      </c>
      <c r="C38" s="1">
        <v>300</v>
      </c>
      <c r="D38" s="1" t="s">
        <v>146</v>
      </c>
      <c r="E38" s="1">
        <v>13</v>
      </c>
      <c r="F38" s="3">
        <v>1350</v>
      </c>
      <c r="G38" s="1">
        <v>3</v>
      </c>
      <c r="H38" s="1" t="s">
        <v>147</v>
      </c>
      <c r="I38" s="1" t="s">
        <v>148</v>
      </c>
      <c r="J38" s="1" t="s">
        <v>16</v>
      </c>
      <c r="K38" s="1" t="s">
        <v>114</v>
      </c>
      <c r="L38" s="1" t="s">
        <v>35</v>
      </c>
      <c r="M38">
        <f t="shared" si="0"/>
        <v>300</v>
      </c>
      <c r="N38" t="str">
        <f t="shared" si="1"/>
        <v>1946-02-12</v>
      </c>
      <c r="O38">
        <f t="shared" si="6"/>
        <v>65</v>
      </c>
      <c r="P38" t="str">
        <f t="shared" si="2"/>
        <v>kobieta</v>
      </c>
      <c r="Q38">
        <f t="shared" si="3"/>
        <v>111</v>
      </c>
      <c r="R38">
        <f t="shared" si="4"/>
        <v>48</v>
      </c>
      <c r="S38">
        <f t="shared" ca="1" si="5"/>
        <v>0</v>
      </c>
    </row>
    <row r="39" spans="1:19">
      <c r="A39" s="1" t="s">
        <v>12</v>
      </c>
      <c r="B39" s="2">
        <v>200</v>
      </c>
      <c r="C39" s="1">
        <v>200</v>
      </c>
      <c r="D39" s="1" t="s">
        <v>149</v>
      </c>
      <c r="E39" s="1">
        <v>98</v>
      </c>
      <c r="F39" s="3">
        <v>2000</v>
      </c>
      <c r="G39" s="1">
        <v>0</v>
      </c>
      <c r="H39" s="1" t="s">
        <v>150</v>
      </c>
      <c r="I39" s="1" t="s">
        <v>151</v>
      </c>
      <c r="J39" s="1" t="s">
        <v>16</v>
      </c>
      <c r="K39" s="1" t="s">
        <v>114</v>
      </c>
      <c r="L39" s="1" t="s">
        <v>35</v>
      </c>
      <c r="M39">
        <f t="shared" si="0"/>
        <v>200</v>
      </c>
      <c r="N39" t="str">
        <f t="shared" si="1"/>
        <v>1980-11-17</v>
      </c>
      <c r="O39">
        <f t="shared" si="6"/>
        <v>31</v>
      </c>
      <c r="P39" t="str">
        <f t="shared" si="2"/>
        <v>mężczyzna</v>
      </c>
      <c r="Q39">
        <f t="shared" si="3"/>
        <v>14</v>
      </c>
      <c r="R39">
        <f t="shared" si="4"/>
        <v>48</v>
      </c>
      <c r="S39">
        <f t="shared" ca="1" si="5"/>
        <v>0</v>
      </c>
    </row>
    <row r="40" spans="1:19">
      <c r="A40" s="1" t="s">
        <v>19</v>
      </c>
      <c r="B40" s="2">
        <v>500</v>
      </c>
      <c r="C40" s="1">
        <v>500</v>
      </c>
      <c r="D40" s="1" t="s">
        <v>152</v>
      </c>
      <c r="E40" s="1">
        <v>13</v>
      </c>
      <c r="F40" s="3">
        <v>936</v>
      </c>
      <c r="G40" s="1">
        <v>2</v>
      </c>
      <c r="H40" s="1" t="s">
        <v>153</v>
      </c>
      <c r="I40" s="1" t="s">
        <v>154</v>
      </c>
      <c r="J40" s="1" t="s">
        <v>16</v>
      </c>
      <c r="K40" s="1" t="s">
        <v>114</v>
      </c>
      <c r="L40" s="1" t="s">
        <v>35</v>
      </c>
      <c r="M40">
        <f t="shared" si="0"/>
        <v>500</v>
      </c>
      <c r="N40" t="str">
        <f t="shared" si="1"/>
        <v>1951-11-18</v>
      </c>
      <c r="O40">
        <f t="shared" si="6"/>
        <v>60</v>
      </c>
      <c r="P40" t="str">
        <f t="shared" si="2"/>
        <v>kobieta</v>
      </c>
      <c r="Q40">
        <f t="shared" si="3"/>
        <v>31</v>
      </c>
      <c r="R40">
        <f t="shared" si="4"/>
        <v>48</v>
      </c>
      <c r="S40">
        <f t="shared" ca="1" si="5"/>
        <v>0</v>
      </c>
    </row>
    <row r="41" spans="1:19">
      <c r="A41" s="1" t="s">
        <v>12</v>
      </c>
      <c r="B41" s="2">
        <v>388.45</v>
      </c>
      <c r="C41" s="1">
        <v>388.45</v>
      </c>
      <c r="D41" s="1" t="s">
        <v>155</v>
      </c>
      <c r="E41" s="1">
        <v>98</v>
      </c>
      <c r="F41" s="3">
        <v>3178</v>
      </c>
      <c r="G41" s="1">
        <v>0</v>
      </c>
      <c r="H41" s="1" t="s">
        <v>156</v>
      </c>
      <c r="I41" s="1" t="s">
        <v>157</v>
      </c>
      <c r="J41" s="1" t="s">
        <v>16</v>
      </c>
      <c r="K41" s="1" t="s">
        <v>114</v>
      </c>
      <c r="L41" s="1" t="s">
        <v>158</v>
      </c>
      <c r="M41">
        <f t="shared" si="0"/>
        <v>388.45</v>
      </c>
      <c r="N41" t="str">
        <f t="shared" si="1"/>
        <v>1968-05-28</v>
      </c>
      <c r="O41">
        <f t="shared" si="6"/>
        <v>43</v>
      </c>
      <c r="P41" t="str">
        <f t="shared" si="2"/>
        <v>mężczyzna</v>
      </c>
      <c r="Q41">
        <f t="shared" si="3"/>
        <v>201</v>
      </c>
      <c r="R41">
        <f t="shared" si="4"/>
        <v>48</v>
      </c>
      <c r="S41">
        <f t="shared" ca="1" si="5"/>
        <v>11</v>
      </c>
    </row>
    <row r="42" spans="1:19">
      <c r="A42" s="1" t="s">
        <v>12</v>
      </c>
      <c r="B42" s="2">
        <v>371.01</v>
      </c>
      <c r="C42" s="1">
        <v>371.01</v>
      </c>
      <c r="D42" s="1" t="s">
        <v>159</v>
      </c>
      <c r="E42" s="1">
        <v>12</v>
      </c>
      <c r="F42" s="3">
        <v>1952.35</v>
      </c>
      <c r="G42" s="1">
        <v>4</v>
      </c>
      <c r="H42" s="1" t="s">
        <v>160</v>
      </c>
      <c r="I42" s="1" t="s">
        <v>161</v>
      </c>
      <c r="J42" s="1" t="s">
        <v>162</v>
      </c>
      <c r="K42" s="1" t="s">
        <v>114</v>
      </c>
      <c r="L42" s="1" t="s">
        <v>163</v>
      </c>
      <c r="M42">
        <f t="shared" si="0"/>
        <v>371.01</v>
      </c>
      <c r="N42" t="str">
        <f t="shared" si="1"/>
        <v>1967-10-17</v>
      </c>
      <c r="O42">
        <f t="shared" si="6"/>
        <v>44</v>
      </c>
      <c r="P42" t="str">
        <f t="shared" si="2"/>
        <v>mężczyzna</v>
      </c>
      <c r="Q42">
        <f t="shared" si="3"/>
        <v>4</v>
      </c>
      <c r="R42">
        <f t="shared" si="4"/>
        <v>7</v>
      </c>
      <c r="S42">
        <f t="shared" ca="1" si="5"/>
        <v>0</v>
      </c>
    </row>
    <row r="43" spans="1:19">
      <c r="A43" s="1" t="s">
        <v>19</v>
      </c>
      <c r="B43" s="2">
        <v>300</v>
      </c>
      <c r="C43" s="1">
        <v>300</v>
      </c>
      <c r="D43" s="1" t="s">
        <v>164</v>
      </c>
      <c r="E43" s="1">
        <v>11</v>
      </c>
      <c r="F43" s="3">
        <v>1680</v>
      </c>
      <c r="G43" s="1">
        <v>4</v>
      </c>
      <c r="H43" s="1" t="s">
        <v>165</v>
      </c>
      <c r="I43" s="1" t="s">
        <v>166</v>
      </c>
      <c r="J43" s="1" t="s">
        <v>16</v>
      </c>
      <c r="K43" s="1" t="s">
        <v>114</v>
      </c>
      <c r="L43" s="1" t="s">
        <v>70</v>
      </c>
      <c r="M43">
        <f t="shared" si="0"/>
        <v>300</v>
      </c>
      <c r="N43" t="str">
        <f t="shared" si="1"/>
        <v>1954-03-14</v>
      </c>
      <c r="O43">
        <f t="shared" si="6"/>
        <v>57</v>
      </c>
      <c r="P43" t="str">
        <f t="shared" si="2"/>
        <v>kobieta</v>
      </c>
      <c r="Q43">
        <f t="shared" si="3"/>
        <v>385</v>
      </c>
      <c r="R43">
        <f t="shared" si="4"/>
        <v>48</v>
      </c>
      <c r="S43">
        <f t="shared" ca="1" si="5"/>
        <v>2</v>
      </c>
    </row>
    <row r="44" spans="1:19">
      <c r="A44" s="1" t="s">
        <v>19</v>
      </c>
      <c r="B44" s="2">
        <v>600</v>
      </c>
      <c r="C44" s="1">
        <v>600</v>
      </c>
      <c r="D44" s="1" t="s">
        <v>167</v>
      </c>
      <c r="E44" s="1">
        <v>11</v>
      </c>
      <c r="F44" s="3">
        <v>2800</v>
      </c>
      <c r="G44" s="1">
        <v>4</v>
      </c>
      <c r="H44" s="1" t="s">
        <v>168</v>
      </c>
      <c r="I44" s="1" t="s">
        <v>169</v>
      </c>
      <c r="J44" s="1" t="s">
        <v>16</v>
      </c>
      <c r="K44" s="1" t="s">
        <v>114</v>
      </c>
      <c r="L44" s="1" t="s">
        <v>35</v>
      </c>
      <c r="M44">
        <f t="shared" si="0"/>
        <v>600</v>
      </c>
      <c r="N44" t="str">
        <f t="shared" si="1"/>
        <v>1962-05-26</v>
      </c>
      <c r="O44">
        <f t="shared" si="6"/>
        <v>49</v>
      </c>
      <c r="P44" t="str">
        <f t="shared" si="2"/>
        <v>kobieta</v>
      </c>
      <c r="Q44">
        <f t="shared" si="3"/>
        <v>319</v>
      </c>
      <c r="R44">
        <f t="shared" si="4"/>
        <v>48</v>
      </c>
      <c r="S44">
        <f t="shared" ca="1" si="5"/>
        <v>0</v>
      </c>
    </row>
    <row r="45" spans="1:19">
      <c r="A45" s="1" t="s">
        <v>12</v>
      </c>
      <c r="B45" s="2">
        <v>783.61</v>
      </c>
      <c r="C45" s="1">
        <v>783.61</v>
      </c>
      <c r="D45" s="1" t="s">
        <v>170</v>
      </c>
      <c r="E45" s="1">
        <v>13</v>
      </c>
      <c r="F45" s="3">
        <v>860</v>
      </c>
      <c r="G45" s="1">
        <v>1</v>
      </c>
      <c r="H45" s="1" t="s">
        <v>171</v>
      </c>
      <c r="I45" s="1" t="s">
        <v>172</v>
      </c>
      <c r="J45" s="1" t="s">
        <v>16</v>
      </c>
      <c r="K45" s="1" t="s">
        <v>114</v>
      </c>
      <c r="L45" s="1" t="s">
        <v>125</v>
      </c>
      <c r="M45">
        <f t="shared" si="0"/>
        <v>783.61</v>
      </c>
      <c r="N45" t="str">
        <f t="shared" si="1"/>
        <v>1948-02-10</v>
      </c>
      <c r="O45">
        <f t="shared" si="6"/>
        <v>63</v>
      </c>
      <c r="P45" t="str">
        <f t="shared" si="2"/>
        <v>kobieta</v>
      </c>
      <c r="Q45">
        <f t="shared" si="3"/>
        <v>80</v>
      </c>
      <c r="R45">
        <f t="shared" si="4"/>
        <v>48</v>
      </c>
      <c r="S45">
        <f t="shared" ca="1" si="5"/>
        <v>9</v>
      </c>
    </row>
    <row r="46" spans="1:19">
      <c r="A46" s="1" t="s">
        <v>12</v>
      </c>
      <c r="B46" s="2">
        <v>800</v>
      </c>
      <c r="C46" s="1">
        <v>800</v>
      </c>
      <c r="D46" s="1" t="s">
        <v>173</v>
      </c>
      <c r="E46" s="1">
        <v>11</v>
      </c>
      <c r="F46" s="3">
        <v>1000</v>
      </c>
      <c r="G46" s="1">
        <v>4</v>
      </c>
      <c r="H46" s="1" t="s">
        <v>174</v>
      </c>
      <c r="I46" s="1" t="s">
        <v>175</v>
      </c>
      <c r="J46" s="1" t="s">
        <v>16</v>
      </c>
      <c r="K46" s="1" t="s">
        <v>114</v>
      </c>
      <c r="L46" s="1" t="s">
        <v>43</v>
      </c>
      <c r="M46">
        <f t="shared" si="0"/>
        <v>800</v>
      </c>
      <c r="N46" t="str">
        <f t="shared" si="1"/>
        <v>1951-09-27</v>
      </c>
      <c r="O46">
        <f t="shared" si="6"/>
        <v>60</v>
      </c>
      <c r="P46" t="str">
        <f t="shared" si="2"/>
        <v>mężczyzna</v>
      </c>
      <c r="Q46">
        <f t="shared" si="3"/>
        <v>63</v>
      </c>
      <c r="R46">
        <f t="shared" si="4"/>
        <v>48</v>
      </c>
      <c r="S46">
        <f t="shared" ca="1" si="5"/>
        <v>0</v>
      </c>
    </row>
    <row r="47" spans="1:19">
      <c r="A47" s="1" t="s">
        <v>19</v>
      </c>
      <c r="B47" s="2">
        <v>400</v>
      </c>
      <c r="C47" s="1">
        <v>400</v>
      </c>
      <c r="D47" s="1" t="s">
        <v>176</v>
      </c>
      <c r="E47" s="1">
        <v>11</v>
      </c>
      <c r="F47" s="3">
        <v>1842.86</v>
      </c>
      <c r="G47" s="1">
        <v>3</v>
      </c>
      <c r="H47" s="1" t="s">
        <v>177</v>
      </c>
      <c r="I47" s="1" t="s">
        <v>178</v>
      </c>
      <c r="J47" s="1" t="s">
        <v>16</v>
      </c>
      <c r="K47" s="1" t="s">
        <v>114</v>
      </c>
      <c r="L47" s="1" t="s">
        <v>51</v>
      </c>
      <c r="M47">
        <f t="shared" si="0"/>
        <v>400</v>
      </c>
      <c r="N47" t="str">
        <f t="shared" si="1"/>
        <v>1955-04-12</v>
      </c>
      <c r="O47">
        <f t="shared" si="6"/>
        <v>56</v>
      </c>
      <c r="P47" t="str">
        <f t="shared" si="2"/>
        <v>mężczyzna</v>
      </c>
      <c r="Q47">
        <f t="shared" si="3"/>
        <v>8</v>
      </c>
      <c r="R47">
        <f t="shared" si="4"/>
        <v>48</v>
      </c>
      <c r="S47">
        <f t="shared" ca="1" si="5"/>
        <v>1</v>
      </c>
    </row>
    <row r="48" spans="1:19">
      <c r="A48" s="1" t="s">
        <v>19</v>
      </c>
      <c r="B48" s="2">
        <v>300</v>
      </c>
      <c r="C48" s="1">
        <v>300</v>
      </c>
      <c r="D48" s="1" t="s">
        <v>179</v>
      </c>
      <c r="E48" s="1">
        <v>13</v>
      </c>
      <c r="F48" s="3">
        <v>1210</v>
      </c>
      <c r="G48" s="1">
        <v>0</v>
      </c>
      <c r="H48" s="1" t="s">
        <v>180</v>
      </c>
      <c r="I48" s="1" t="s">
        <v>181</v>
      </c>
      <c r="J48" s="1" t="s">
        <v>16</v>
      </c>
      <c r="K48" s="1" t="s">
        <v>114</v>
      </c>
      <c r="L48" s="1" t="s">
        <v>70</v>
      </c>
      <c r="M48">
        <f t="shared" si="0"/>
        <v>300</v>
      </c>
      <c r="N48" t="str">
        <f t="shared" si="1"/>
        <v>1946-11-09</v>
      </c>
      <c r="O48">
        <f t="shared" si="6"/>
        <v>65</v>
      </c>
      <c r="P48" t="str">
        <f t="shared" si="2"/>
        <v>kobieta</v>
      </c>
      <c r="Q48">
        <f t="shared" si="3"/>
        <v>138</v>
      </c>
      <c r="R48">
        <f t="shared" si="4"/>
        <v>48</v>
      </c>
      <c r="S48">
        <f t="shared" ca="1" si="5"/>
        <v>2</v>
      </c>
    </row>
    <row r="49" spans="1:19">
      <c r="A49" s="1" t="s">
        <v>12</v>
      </c>
      <c r="B49" s="2">
        <v>500</v>
      </c>
      <c r="C49" s="1">
        <v>500</v>
      </c>
      <c r="D49" s="1" t="s">
        <v>182</v>
      </c>
      <c r="E49" s="1">
        <v>13</v>
      </c>
      <c r="F49" s="3">
        <v>2051</v>
      </c>
      <c r="G49" s="1">
        <v>1</v>
      </c>
      <c r="H49" s="1" t="s">
        <v>183</v>
      </c>
      <c r="I49" s="1" t="s">
        <v>184</v>
      </c>
      <c r="J49" s="1" t="s">
        <v>16</v>
      </c>
      <c r="K49" s="1" t="s">
        <v>114</v>
      </c>
      <c r="L49" s="1" t="s">
        <v>185</v>
      </c>
      <c r="M49">
        <f t="shared" si="0"/>
        <v>500</v>
      </c>
      <c r="N49" t="str">
        <f t="shared" si="1"/>
        <v>1948-12-07</v>
      </c>
      <c r="O49">
        <f t="shared" si="6"/>
        <v>63</v>
      </c>
      <c r="P49" t="str">
        <f t="shared" si="2"/>
        <v>kobieta</v>
      </c>
      <c r="Q49">
        <f t="shared" si="3"/>
        <v>138</v>
      </c>
      <c r="R49">
        <f t="shared" si="4"/>
        <v>48</v>
      </c>
      <c r="S49">
        <f t="shared" ca="1" si="5"/>
        <v>0</v>
      </c>
    </row>
    <row r="50" spans="1:19">
      <c r="A50" s="1" t="s">
        <v>19</v>
      </c>
      <c r="B50" s="2">
        <v>200</v>
      </c>
      <c r="C50" s="1">
        <v>200</v>
      </c>
      <c r="D50" s="1" t="s">
        <v>186</v>
      </c>
      <c r="E50" s="1">
        <v>12</v>
      </c>
      <c r="F50" s="3">
        <v>1000</v>
      </c>
      <c r="G50" s="1">
        <v>5</v>
      </c>
      <c r="H50" s="1" t="s">
        <v>187</v>
      </c>
      <c r="I50" s="1" t="s">
        <v>188</v>
      </c>
      <c r="J50" s="1" t="s">
        <v>189</v>
      </c>
      <c r="K50" s="1" t="s">
        <v>114</v>
      </c>
      <c r="L50" s="1" t="s">
        <v>51</v>
      </c>
      <c r="M50">
        <f t="shared" si="0"/>
        <v>200</v>
      </c>
      <c r="N50" t="str">
        <f t="shared" si="1"/>
        <v>1987-02-13</v>
      </c>
      <c r="O50">
        <f t="shared" si="6"/>
        <v>24</v>
      </c>
      <c r="P50" t="str">
        <f t="shared" si="2"/>
        <v>mężczyzna</v>
      </c>
      <c r="Q50">
        <f t="shared" si="3"/>
        <v>12</v>
      </c>
      <c r="R50">
        <f t="shared" si="4"/>
        <v>13</v>
      </c>
      <c r="S50">
        <f t="shared" ca="1" si="5"/>
        <v>1</v>
      </c>
    </row>
    <row r="51" spans="1:19">
      <c r="A51" s="1" t="s">
        <v>19</v>
      </c>
      <c r="B51" s="2">
        <v>200</v>
      </c>
      <c r="C51" s="1">
        <v>200</v>
      </c>
      <c r="D51" s="1" t="s">
        <v>190</v>
      </c>
      <c r="E51" s="1">
        <v>13</v>
      </c>
      <c r="F51" s="3">
        <v>1026</v>
      </c>
      <c r="G51" s="1">
        <v>5</v>
      </c>
      <c r="H51" s="1" t="s">
        <v>191</v>
      </c>
      <c r="I51" s="1" t="s">
        <v>192</v>
      </c>
      <c r="J51" s="1" t="s">
        <v>16</v>
      </c>
      <c r="K51" s="1" t="s">
        <v>114</v>
      </c>
      <c r="L51" s="1" t="s">
        <v>51</v>
      </c>
      <c r="M51">
        <f t="shared" si="0"/>
        <v>200</v>
      </c>
      <c r="N51" t="str">
        <f t="shared" si="1"/>
        <v>1937-05-27</v>
      </c>
      <c r="O51">
        <f t="shared" si="6"/>
        <v>74</v>
      </c>
      <c r="P51" t="str">
        <f t="shared" si="2"/>
        <v>kobieta</v>
      </c>
      <c r="Q51">
        <f t="shared" si="3"/>
        <v>247</v>
      </c>
      <c r="R51">
        <f t="shared" si="4"/>
        <v>48</v>
      </c>
      <c r="S51">
        <f t="shared" ca="1" si="5"/>
        <v>1</v>
      </c>
    </row>
    <row r="52" spans="1:19">
      <c r="A52" s="1" t="s">
        <v>19</v>
      </c>
      <c r="B52" s="2">
        <v>250</v>
      </c>
      <c r="C52" s="1">
        <v>250</v>
      </c>
      <c r="D52" s="1" t="s">
        <v>193</v>
      </c>
      <c r="E52" s="1">
        <v>11</v>
      </c>
      <c r="F52" s="3">
        <v>1700</v>
      </c>
      <c r="G52" s="1">
        <v>4</v>
      </c>
      <c r="H52" s="1" t="s">
        <v>194</v>
      </c>
      <c r="I52" s="1" t="s">
        <v>195</v>
      </c>
      <c r="J52" s="1" t="s">
        <v>16</v>
      </c>
      <c r="K52" s="1" t="s">
        <v>196</v>
      </c>
      <c r="L52" s="1" t="s">
        <v>197</v>
      </c>
      <c r="M52">
        <f t="shared" si="0"/>
        <v>250</v>
      </c>
      <c r="N52" t="str">
        <f t="shared" si="1"/>
        <v>1960-01-08</v>
      </c>
      <c r="O52">
        <f t="shared" si="6"/>
        <v>51</v>
      </c>
      <c r="P52" t="str">
        <f t="shared" si="2"/>
        <v>kobieta</v>
      </c>
      <c r="Q52">
        <f t="shared" si="3"/>
        <v>306</v>
      </c>
      <c r="R52">
        <f t="shared" si="4"/>
        <v>48</v>
      </c>
      <c r="S52">
        <f t="shared" ca="1" si="5"/>
        <v>5</v>
      </c>
    </row>
    <row r="53" spans="1:19">
      <c r="A53" s="1" t="s">
        <v>19</v>
      </c>
      <c r="B53" s="2">
        <v>800</v>
      </c>
      <c r="C53" s="1">
        <v>600</v>
      </c>
      <c r="D53" s="1" t="s">
        <v>198</v>
      </c>
      <c r="E53" s="1">
        <v>98</v>
      </c>
      <c r="F53" s="3">
        <v>5000</v>
      </c>
      <c r="G53" s="1">
        <v>0</v>
      </c>
      <c r="H53" s="1" t="s">
        <v>199</v>
      </c>
      <c r="I53" s="1" t="s">
        <v>200</v>
      </c>
      <c r="J53" s="1" t="s">
        <v>16</v>
      </c>
      <c r="K53" s="1" t="s">
        <v>196</v>
      </c>
      <c r="L53" s="1" t="s">
        <v>118</v>
      </c>
      <c r="M53">
        <f t="shared" si="0"/>
        <v>600</v>
      </c>
      <c r="N53" t="str">
        <f t="shared" si="1"/>
        <v>1970-10-26</v>
      </c>
      <c r="O53">
        <f t="shared" si="6"/>
        <v>41</v>
      </c>
      <c r="P53" t="str">
        <f t="shared" si="2"/>
        <v>kobieta</v>
      </c>
      <c r="Q53">
        <f t="shared" si="3"/>
        <v>84</v>
      </c>
      <c r="R53">
        <f t="shared" si="4"/>
        <v>48</v>
      </c>
      <c r="S53">
        <f t="shared" ca="1" si="5"/>
        <v>1</v>
      </c>
    </row>
    <row r="54" spans="1:19">
      <c r="A54" s="1" t="s">
        <v>12</v>
      </c>
      <c r="B54" s="2">
        <v>200</v>
      </c>
      <c r="C54" s="1">
        <v>200</v>
      </c>
      <c r="D54" s="1" t="s">
        <v>201</v>
      </c>
      <c r="E54" s="1">
        <v>11</v>
      </c>
      <c r="F54" s="3">
        <v>1077</v>
      </c>
      <c r="G54" s="1">
        <v>1</v>
      </c>
      <c r="H54" s="1" t="s">
        <v>202</v>
      </c>
      <c r="I54" s="1" t="s">
        <v>203</v>
      </c>
      <c r="J54" s="1" t="s">
        <v>16</v>
      </c>
      <c r="K54" s="1" t="s">
        <v>196</v>
      </c>
      <c r="L54" s="1" t="s">
        <v>35</v>
      </c>
      <c r="M54">
        <f t="shared" si="0"/>
        <v>200</v>
      </c>
      <c r="N54" t="str">
        <f t="shared" si="1"/>
        <v>1956-11-02</v>
      </c>
      <c r="O54">
        <f t="shared" si="6"/>
        <v>55</v>
      </c>
      <c r="P54" t="str">
        <f t="shared" si="2"/>
        <v>kobieta</v>
      </c>
      <c r="Q54">
        <f t="shared" si="3"/>
        <v>183</v>
      </c>
      <c r="R54">
        <f t="shared" si="4"/>
        <v>48</v>
      </c>
      <c r="S54">
        <f t="shared" ca="1" si="5"/>
        <v>0</v>
      </c>
    </row>
    <row r="55" spans="1:19">
      <c r="A55" s="1" t="s">
        <v>12</v>
      </c>
      <c r="B55" s="2">
        <v>300</v>
      </c>
      <c r="C55" s="1">
        <v>300</v>
      </c>
      <c r="D55" s="1" t="s">
        <v>204</v>
      </c>
      <c r="E55" s="1">
        <v>12</v>
      </c>
      <c r="F55" s="3">
        <v>1375.47</v>
      </c>
      <c r="G55" s="1">
        <v>2</v>
      </c>
      <c r="H55" s="1" t="s">
        <v>205</v>
      </c>
      <c r="I55" s="1" t="s">
        <v>206</v>
      </c>
      <c r="J55" s="1" t="s">
        <v>207</v>
      </c>
      <c r="K55" s="1" t="s">
        <v>196</v>
      </c>
      <c r="L55" s="1" t="s">
        <v>35</v>
      </c>
      <c r="M55">
        <f t="shared" si="0"/>
        <v>300</v>
      </c>
      <c r="N55" t="str">
        <f t="shared" si="1"/>
        <v>1966-04-16</v>
      </c>
      <c r="O55">
        <f t="shared" si="6"/>
        <v>45</v>
      </c>
      <c r="P55" t="str">
        <f t="shared" si="2"/>
        <v>mężczyzna</v>
      </c>
      <c r="Q55">
        <f t="shared" si="3"/>
        <v>7</v>
      </c>
      <c r="R55">
        <f t="shared" si="4"/>
        <v>1</v>
      </c>
      <c r="S55">
        <f t="shared" ca="1" si="5"/>
        <v>0</v>
      </c>
    </row>
    <row r="56" spans="1:19">
      <c r="A56" s="1" t="s">
        <v>19</v>
      </c>
      <c r="B56" s="2">
        <v>600</v>
      </c>
      <c r="C56" s="1">
        <v>600</v>
      </c>
      <c r="D56" s="1" t="s">
        <v>208</v>
      </c>
      <c r="E56" s="1">
        <v>16</v>
      </c>
      <c r="F56" s="3">
        <v>588</v>
      </c>
      <c r="G56" s="1">
        <v>1</v>
      </c>
      <c r="H56" s="1" t="s">
        <v>209</v>
      </c>
      <c r="I56" s="1" t="s">
        <v>210</v>
      </c>
      <c r="J56" s="1" t="s">
        <v>16</v>
      </c>
      <c r="K56" s="1" t="s">
        <v>196</v>
      </c>
      <c r="L56" s="1" t="s">
        <v>211</v>
      </c>
      <c r="M56">
        <f t="shared" si="0"/>
        <v>600</v>
      </c>
      <c r="N56" t="str">
        <f t="shared" si="1"/>
        <v>1956-03-30</v>
      </c>
      <c r="O56">
        <f t="shared" si="6"/>
        <v>55</v>
      </c>
      <c r="P56" t="str">
        <f t="shared" si="2"/>
        <v>mężczyzna</v>
      </c>
      <c r="Q56">
        <f t="shared" si="3"/>
        <v>422</v>
      </c>
      <c r="R56">
        <f t="shared" si="4"/>
        <v>48</v>
      </c>
      <c r="S56">
        <f t="shared" ca="1" si="5"/>
        <v>8</v>
      </c>
    </row>
    <row r="57" spans="1:19">
      <c r="A57" s="1" t="s">
        <v>19</v>
      </c>
      <c r="B57" s="2">
        <v>1000</v>
      </c>
      <c r="C57" s="1">
        <v>1000</v>
      </c>
      <c r="D57" s="1" t="s">
        <v>212</v>
      </c>
      <c r="E57" s="1">
        <v>13</v>
      </c>
      <c r="F57" s="3">
        <v>2100</v>
      </c>
      <c r="G57" s="1">
        <v>4</v>
      </c>
      <c r="H57" s="1" t="s">
        <v>213</v>
      </c>
      <c r="I57" s="1" t="s">
        <v>214</v>
      </c>
      <c r="J57" s="1" t="s">
        <v>16</v>
      </c>
      <c r="K57" s="1" t="s">
        <v>196</v>
      </c>
      <c r="L57" s="1" t="s">
        <v>215</v>
      </c>
      <c r="M57">
        <f t="shared" si="0"/>
        <v>1000</v>
      </c>
      <c r="N57" t="str">
        <f t="shared" si="1"/>
        <v>1938-03-02</v>
      </c>
      <c r="O57">
        <f t="shared" si="6"/>
        <v>73</v>
      </c>
      <c r="P57" t="str">
        <f t="shared" si="2"/>
        <v>kobieta</v>
      </c>
      <c r="Q57">
        <f t="shared" si="3"/>
        <v>55</v>
      </c>
      <c r="R57">
        <f t="shared" si="4"/>
        <v>48</v>
      </c>
      <c r="S57">
        <f t="shared" ca="1" si="5"/>
        <v>20</v>
      </c>
    </row>
    <row r="58" spans="1:19">
      <c r="A58" s="1" t="s">
        <v>19</v>
      </c>
      <c r="B58" s="2">
        <v>200</v>
      </c>
      <c r="C58" s="1">
        <v>200</v>
      </c>
      <c r="D58" s="1" t="s">
        <v>216</v>
      </c>
      <c r="E58" s="1">
        <v>16</v>
      </c>
      <c r="F58" s="3">
        <v>685</v>
      </c>
      <c r="G58" s="1">
        <v>0</v>
      </c>
      <c r="H58" s="1" t="s">
        <v>217</v>
      </c>
      <c r="I58" s="1" t="s">
        <v>218</v>
      </c>
      <c r="J58" s="1" t="s">
        <v>16</v>
      </c>
      <c r="K58" s="1" t="s">
        <v>196</v>
      </c>
      <c r="L58" s="1" t="s">
        <v>70</v>
      </c>
      <c r="M58">
        <f t="shared" si="0"/>
        <v>200</v>
      </c>
      <c r="N58" t="str">
        <f t="shared" si="1"/>
        <v>1959-07-19</v>
      </c>
      <c r="O58">
        <f t="shared" si="6"/>
        <v>52</v>
      </c>
      <c r="P58" t="str">
        <f t="shared" si="2"/>
        <v>kobieta</v>
      </c>
      <c r="Q58">
        <f t="shared" si="3"/>
        <v>41</v>
      </c>
      <c r="R58">
        <f t="shared" si="4"/>
        <v>48</v>
      </c>
      <c r="S58">
        <f t="shared" ca="1" si="5"/>
        <v>0</v>
      </c>
    </row>
    <row r="59" spans="1:19">
      <c r="A59" s="1" t="s">
        <v>19</v>
      </c>
      <c r="B59" s="2">
        <v>300</v>
      </c>
      <c r="C59" s="1">
        <v>300</v>
      </c>
      <c r="D59" s="1" t="s">
        <v>219</v>
      </c>
      <c r="E59" s="1">
        <v>13</v>
      </c>
      <c r="F59" s="3">
        <v>1240</v>
      </c>
      <c r="G59" s="1">
        <v>1</v>
      </c>
      <c r="H59" s="1" t="s">
        <v>220</v>
      </c>
      <c r="I59" s="1" t="s">
        <v>221</v>
      </c>
      <c r="J59" s="1" t="s">
        <v>16</v>
      </c>
      <c r="K59" s="1" t="s">
        <v>196</v>
      </c>
      <c r="L59" s="1" t="s">
        <v>70</v>
      </c>
      <c r="M59">
        <f t="shared" si="0"/>
        <v>300</v>
      </c>
      <c r="N59" t="str">
        <f t="shared" si="1"/>
        <v>1953-12-01</v>
      </c>
      <c r="O59">
        <f t="shared" si="6"/>
        <v>58</v>
      </c>
      <c r="P59" t="str">
        <f t="shared" si="2"/>
        <v>kobieta</v>
      </c>
      <c r="Q59">
        <f t="shared" si="3"/>
        <v>70</v>
      </c>
      <c r="R59">
        <f t="shared" si="4"/>
        <v>48</v>
      </c>
      <c r="S59">
        <f t="shared" ca="1" si="5"/>
        <v>0</v>
      </c>
    </row>
    <row r="60" spans="1:19">
      <c r="A60" s="1" t="s">
        <v>19</v>
      </c>
      <c r="B60" s="2">
        <v>400</v>
      </c>
      <c r="C60" s="1">
        <v>400</v>
      </c>
      <c r="D60" s="1" t="s">
        <v>222</v>
      </c>
      <c r="E60" s="1">
        <v>13</v>
      </c>
      <c r="F60" s="3">
        <v>1090.1400000000001</v>
      </c>
      <c r="G60" s="1">
        <v>4</v>
      </c>
      <c r="H60" s="1" t="s">
        <v>223</v>
      </c>
      <c r="I60" s="1" t="s">
        <v>224</v>
      </c>
      <c r="J60" s="1" t="s">
        <v>16</v>
      </c>
      <c r="K60" s="1" t="s">
        <v>196</v>
      </c>
      <c r="L60" s="1" t="s">
        <v>70</v>
      </c>
      <c r="M60">
        <f t="shared" si="0"/>
        <v>400</v>
      </c>
      <c r="N60" t="str">
        <f t="shared" si="1"/>
        <v>1950-06-12</v>
      </c>
      <c r="O60">
        <f t="shared" si="6"/>
        <v>61</v>
      </c>
      <c r="P60" t="str">
        <f t="shared" si="2"/>
        <v>kobieta</v>
      </c>
      <c r="Q60">
        <f t="shared" si="3"/>
        <v>75</v>
      </c>
      <c r="R60">
        <f t="shared" si="4"/>
        <v>48</v>
      </c>
      <c r="S60">
        <f t="shared" ca="1" si="5"/>
        <v>0</v>
      </c>
    </row>
    <row r="61" spans="1:19">
      <c r="A61" s="1" t="s">
        <v>12</v>
      </c>
      <c r="B61" s="2">
        <v>300</v>
      </c>
      <c r="C61" s="1">
        <v>300</v>
      </c>
      <c r="D61" s="1" t="s">
        <v>225</v>
      </c>
      <c r="E61" s="1">
        <v>11</v>
      </c>
      <c r="F61" s="3">
        <v>1077.49</v>
      </c>
      <c r="G61" s="1">
        <v>4</v>
      </c>
      <c r="H61" s="1" t="s">
        <v>226</v>
      </c>
      <c r="I61" s="1" t="s">
        <v>227</v>
      </c>
      <c r="J61" s="1" t="s">
        <v>16</v>
      </c>
      <c r="K61" s="1" t="s">
        <v>196</v>
      </c>
      <c r="L61" s="1" t="s">
        <v>158</v>
      </c>
      <c r="M61">
        <f t="shared" si="0"/>
        <v>300</v>
      </c>
      <c r="N61" t="str">
        <f t="shared" si="1"/>
        <v>1963-09-03</v>
      </c>
      <c r="O61">
        <f t="shared" si="6"/>
        <v>48</v>
      </c>
      <c r="P61" t="str">
        <f t="shared" si="2"/>
        <v>kobieta</v>
      </c>
      <c r="Q61">
        <f t="shared" si="3"/>
        <v>372</v>
      </c>
      <c r="R61">
        <f t="shared" si="4"/>
        <v>48</v>
      </c>
      <c r="S61">
        <f t="shared" ca="1" si="5"/>
        <v>9</v>
      </c>
    </row>
    <row r="62" spans="1:19">
      <c r="A62" s="1" t="s">
        <v>19</v>
      </c>
      <c r="B62" s="2">
        <v>200</v>
      </c>
      <c r="C62" s="1">
        <v>200</v>
      </c>
      <c r="D62" s="1" t="s">
        <v>228</v>
      </c>
      <c r="E62" s="1">
        <v>13</v>
      </c>
      <c r="F62" s="3">
        <v>12220</v>
      </c>
      <c r="G62" s="1">
        <v>3</v>
      </c>
      <c r="H62" s="1" t="s">
        <v>229</v>
      </c>
      <c r="I62" s="1" t="s">
        <v>230</v>
      </c>
      <c r="J62" s="1" t="s">
        <v>16</v>
      </c>
      <c r="K62" s="1" t="s">
        <v>196</v>
      </c>
      <c r="L62" s="1" t="s">
        <v>231</v>
      </c>
      <c r="M62">
        <f t="shared" si="0"/>
        <v>200</v>
      </c>
      <c r="N62" t="str">
        <f t="shared" si="1"/>
        <v>1954-02-20</v>
      </c>
      <c r="O62">
        <f t="shared" si="6"/>
        <v>57</v>
      </c>
      <c r="P62" t="str">
        <f t="shared" si="2"/>
        <v>mężczyzna</v>
      </c>
      <c r="Q62">
        <f t="shared" si="3"/>
        <v>71</v>
      </c>
      <c r="R62">
        <f t="shared" si="4"/>
        <v>48</v>
      </c>
      <c r="S62">
        <f t="shared" ca="1" si="5"/>
        <v>3</v>
      </c>
    </row>
    <row r="63" spans="1:19">
      <c r="A63" s="1" t="s">
        <v>19</v>
      </c>
      <c r="B63" s="2">
        <v>200</v>
      </c>
      <c r="C63" s="1">
        <v>200</v>
      </c>
      <c r="D63" s="1" t="s">
        <v>232</v>
      </c>
      <c r="E63" s="1">
        <v>13</v>
      </c>
      <c r="F63" s="3">
        <v>1134.96</v>
      </c>
      <c r="G63" s="1">
        <v>1</v>
      </c>
      <c r="H63" s="1" t="s">
        <v>233</v>
      </c>
      <c r="I63" s="1" t="s">
        <v>234</v>
      </c>
      <c r="J63" s="1" t="s">
        <v>16</v>
      </c>
      <c r="K63" s="1" t="s">
        <v>196</v>
      </c>
      <c r="L63" s="1" t="s">
        <v>118</v>
      </c>
      <c r="M63">
        <f t="shared" si="0"/>
        <v>200</v>
      </c>
      <c r="N63" t="str">
        <f t="shared" si="1"/>
        <v>1943-04-08</v>
      </c>
      <c r="O63">
        <f t="shared" si="6"/>
        <v>68</v>
      </c>
      <c r="P63" t="str">
        <f t="shared" si="2"/>
        <v>kobieta</v>
      </c>
      <c r="Q63">
        <f t="shared" si="3"/>
        <v>161</v>
      </c>
      <c r="R63">
        <f t="shared" si="4"/>
        <v>48</v>
      </c>
      <c r="S63">
        <f t="shared" ca="1" si="5"/>
        <v>1</v>
      </c>
    </row>
    <row r="64" spans="1:19">
      <c r="A64" s="1" t="s">
        <v>24</v>
      </c>
      <c r="B64" s="2">
        <v>400</v>
      </c>
      <c r="C64" s="1">
        <v>0</v>
      </c>
      <c r="D64" s="1" t="s">
        <v>235</v>
      </c>
      <c r="E64" s="1">
        <v>11</v>
      </c>
      <c r="F64" s="3">
        <v>1333</v>
      </c>
      <c r="G64" s="1">
        <v>0</v>
      </c>
      <c r="H64" s="1" t="s">
        <v>236</v>
      </c>
      <c r="I64" s="1" t="s">
        <v>161</v>
      </c>
      <c r="J64" s="1" t="s">
        <v>16</v>
      </c>
      <c r="K64" s="1" t="s">
        <v>16</v>
      </c>
      <c r="L64" s="1" t="s">
        <v>28</v>
      </c>
      <c r="M64">
        <f t="shared" si="0"/>
        <v>400</v>
      </c>
      <c r="N64" t="str">
        <f t="shared" si="1"/>
        <v>1965-04-03</v>
      </c>
      <c r="O64">
        <f t="shared" si="6"/>
        <v>46</v>
      </c>
      <c r="P64" t="str">
        <f t="shared" si="2"/>
        <v>kobieta</v>
      </c>
      <c r="Q64">
        <f t="shared" si="3"/>
        <v>4</v>
      </c>
      <c r="R64">
        <f t="shared" si="4"/>
        <v>48</v>
      </c>
      <c r="S64">
        <f t="shared" ca="1" si="5"/>
        <v>0</v>
      </c>
    </row>
    <row r="65" spans="1:19">
      <c r="A65" s="1" t="s">
        <v>19</v>
      </c>
      <c r="B65" s="2">
        <v>300</v>
      </c>
      <c r="C65" s="1">
        <v>300</v>
      </c>
      <c r="D65" s="1" t="s">
        <v>237</v>
      </c>
      <c r="E65" s="1">
        <v>11</v>
      </c>
      <c r="F65" s="3">
        <v>1286.1600000000001</v>
      </c>
      <c r="G65" s="1">
        <v>1</v>
      </c>
      <c r="H65" s="1" t="s">
        <v>238</v>
      </c>
      <c r="I65" s="1" t="s">
        <v>239</v>
      </c>
      <c r="J65" s="1" t="s">
        <v>16</v>
      </c>
      <c r="K65" s="1" t="s">
        <v>196</v>
      </c>
      <c r="L65" s="1" t="s">
        <v>70</v>
      </c>
      <c r="M65">
        <f t="shared" si="0"/>
        <v>300</v>
      </c>
      <c r="N65" t="str">
        <f t="shared" si="1"/>
        <v>1969-09-09</v>
      </c>
      <c r="O65">
        <f t="shared" si="6"/>
        <v>42</v>
      </c>
      <c r="P65" t="str">
        <f t="shared" si="2"/>
        <v>kobieta</v>
      </c>
      <c r="Q65">
        <f t="shared" si="3"/>
        <v>117</v>
      </c>
      <c r="R65">
        <f t="shared" si="4"/>
        <v>48</v>
      </c>
      <c r="S65">
        <f t="shared" ca="1" si="5"/>
        <v>0</v>
      </c>
    </row>
    <row r="66" spans="1:19">
      <c r="A66" s="1" t="s">
        <v>12</v>
      </c>
      <c r="B66" s="2">
        <v>200</v>
      </c>
      <c r="C66" s="1">
        <v>200</v>
      </c>
      <c r="D66" s="1" t="s">
        <v>240</v>
      </c>
      <c r="E66" s="1">
        <v>16</v>
      </c>
      <c r="F66" s="3">
        <v>1389</v>
      </c>
      <c r="G66" s="1">
        <v>4</v>
      </c>
      <c r="H66" s="1" t="s">
        <v>241</v>
      </c>
      <c r="I66" s="1" t="s">
        <v>242</v>
      </c>
      <c r="J66" s="1" t="s">
        <v>16</v>
      </c>
      <c r="K66" s="1" t="s">
        <v>196</v>
      </c>
      <c r="L66" s="1" t="s">
        <v>39</v>
      </c>
      <c r="M66">
        <f t="shared" si="0"/>
        <v>200</v>
      </c>
      <c r="N66" t="str">
        <f t="shared" si="1"/>
        <v>1948-07-16</v>
      </c>
      <c r="O66">
        <f t="shared" si="6"/>
        <v>63</v>
      </c>
      <c r="P66" t="str">
        <f t="shared" si="2"/>
        <v>kobieta</v>
      </c>
      <c r="Q66">
        <f t="shared" si="3"/>
        <v>91</v>
      </c>
      <c r="R66">
        <f t="shared" si="4"/>
        <v>48</v>
      </c>
      <c r="S66">
        <f t="shared" ca="1" si="5"/>
        <v>0</v>
      </c>
    </row>
    <row r="67" spans="1:19">
      <c r="A67" s="1" t="s">
        <v>19</v>
      </c>
      <c r="B67" s="2">
        <v>800</v>
      </c>
      <c r="C67" s="1">
        <v>800</v>
      </c>
      <c r="D67" s="1" t="s">
        <v>243</v>
      </c>
      <c r="E67" s="1">
        <v>12</v>
      </c>
      <c r="F67" s="3">
        <v>2500</v>
      </c>
      <c r="G67" s="1">
        <v>3</v>
      </c>
      <c r="H67" s="1" t="s">
        <v>244</v>
      </c>
      <c r="I67" s="1" t="s">
        <v>245</v>
      </c>
      <c r="J67" s="1" t="s">
        <v>246</v>
      </c>
      <c r="K67" s="1" t="s">
        <v>196</v>
      </c>
      <c r="L67" s="1" t="s">
        <v>70</v>
      </c>
      <c r="M67">
        <f t="shared" ref="M67:M130" si="7">IF(A67="odmowa", B67,C67)</f>
        <v>800</v>
      </c>
      <c r="N67" t="str">
        <f t="shared" ref="N67:N130" si="8">CONCATENATE("19", MID(D67, 1, 2), "-", MID(D67, 3, 2), "-", MID(D67, 5, 2))</f>
        <v>1954-03-09</v>
      </c>
      <c r="O67">
        <f t="shared" ref="O67:O130" si="9">YEAR(H67) - YEAR(N67)</f>
        <v>57</v>
      </c>
      <c r="P67" t="str">
        <f t="shared" ref="P67:P130" si="10">IF(MOD(MID(D67, 10, 1), 2)=0, "kobieta", "mężczyzna")</f>
        <v>mężczyzna</v>
      </c>
      <c r="Q67">
        <f t="shared" ref="Q67:Q130" si="11">(YEAR(H67) - YEAR(I67)) * 12 + MONTH(H67) - MONTH(I67)</f>
        <v>5</v>
      </c>
      <c r="R67">
        <f t="shared" ref="R67:R130" si="12">IF(LEFT(J67, 4)="0000", 48, MIN(48, (YEAR(J67) - YEAR(H67)) * 12 + MONTH(J67) - MONTH(H67)))</f>
        <v>5</v>
      </c>
      <c r="S67">
        <f t="shared" ref="S67:S130" ca="1" si="13">IF(LEFT(K67, 4)="0000", 0, IF(LEFT(L67, 4)="0000", MAX(0, TODAY() - K67), MAX(0, L67 - K67)))</f>
        <v>0</v>
      </c>
    </row>
    <row r="68" spans="1:19">
      <c r="A68" s="1" t="s">
        <v>19</v>
      </c>
      <c r="B68" s="2">
        <v>378.91</v>
      </c>
      <c r="C68" s="1">
        <v>378.91</v>
      </c>
      <c r="D68" s="1" t="s">
        <v>247</v>
      </c>
      <c r="E68" s="1">
        <v>13</v>
      </c>
      <c r="F68" s="3">
        <v>1291.18</v>
      </c>
      <c r="G68" s="1">
        <v>5</v>
      </c>
      <c r="H68" s="1" t="s">
        <v>248</v>
      </c>
      <c r="I68" s="1" t="s">
        <v>66</v>
      </c>
      <c r="J68" s="1" t="s">
        <v>16</v>
      </c>
      <c r="K68" s="1" t="s">
        <v>196</v>
      </c>
      <c r="L68" s="1" t="s">
        <v>70</v>
      </c>
      <c r="M68">
        <f t="shared" si="7"/>
        <v>378.91</v>
      </c>
      <c r="N68" t="str">
        <f t="shared" si="8"/>
        <v>1941-03-08</v>
      </c>
      <c r="O68">
        <f t="shared" si="9"/>
        <v>70</v>
      </c>
      <c r="P68" t="str">
        <f t="shared" si="10"/>
        <v>kobieta</v>
      </c>
      <c r="Q68">
        <f t="shared" si="11"/>
        <v>79</v>
      </c>
      <c r="R68">
        <f t="shared" si="12"/>
        <v>48</v>
      </c>
      <c r="S68">
        <f t="shared" ca="1" si="13"/>
        <v>0</v>
      </c>
    </row>
    <row r="69" spans="1:19">
      <c r="A69" s="1" t="s">
        <v>19</v>
      </c>
      <c r="B69" s="2">
        <v>200</v>
      </c>
      <c r="C69" s="1">
        <v>200</v>
      </c>
      <c r="D69" s="1" t="s">
        <v>249</v>
      </c>
      <c r="E69" s="1">
        <v>17</v>
      </c>
      <c r="F69" s="3">
        <v>1200</v>
      </c>
      <c r="G69" s="1">
        <v>5</v>
      </c>
      <c r="H69" s="1" t="s">
        <v>250</v>
      </c>
      <c r="I69" s="1" t="s">
        <v>251</v>
      </c>
      <c r="J69" s="1" t="s">
        <v>252</v>
      </c>
      <c r="K69" s="1" t="s">
        <v>196</v>
      </c>
      <c r="L69" s="1" t="s">
        <v>197</v>
      </c>
      <c r="M69">
        <f t="shared" si="7"/>
        <v>200</v>
      </c>
      <c r="N69" t="str">
        <f t="shared" si="8"/>
        <v>1986-10-25</v>
      </c>
      <c r="O69">
        <f t="shared" si="9"/>
        <v>25</v>
      </c>
      <c r="P69" t="str">
        <f t="shared" si="10"/>
        <v>kobieta</v>
      </c>
      <c r="Q69">
        <f t="shared" si="11"/>
        <v>165</v>
      </c>
      <c r="R69">
        <f t="shared" si="12"/>
        <v>15</v>
      </c>
      <c r="S69">
        <f t="shared" ca="1" si="13"/>
        <v>5</v>
      </c>
    </row>
    <row r="70" spans="1:19">
      <c r="A70" s="1" t="s">
        <v>19</v>
      </c>
      <c r="B70" s="2">
        <v>400</v>
      </c>
      <c r="C70" s="1">
        <v>400</v>
      </c>
      <c r="D70" s="1" t="s">
        <v>253</v>
      </c>
      <c r="E70" s="1">
        <v>12</v>
      </c>
      <c r="F70" s="3">
        <v>1700</v>
      </c>
      <c r="G70" s="1">
        <v>5</v>
      </c>
      <c r="H70" s="1" t="s">
        <v>254</v>
      </c>
      <c r="I70" s="1" t="s">
        <v>255</v>
      </c>
      <c r="J70" s="1" t="s">
        <v>256</v>
      </c>
      <c r="K70" s="1" t="s">
        <v>196</v>
      </c>
      <c r="L70" s="1" t="s">
        <v>70</v>
      </c>
      <c r="M70">
        <f t="shared" si="7"/>
        <v>400</v>
      </c>
      <c r="N70" t="str">
        <f t="shared" si="8"/>
        <v>1957-06-27</v>
      </c>
      <c r="O70">
        <f t="shared" si="9"/>
        <v>54</v>
      </c>
      <c r="P70" t="str">
        <f t="shared" si="10"/>
        <v>kobieta</v>
      </c>
      <c r="Q70">
        <f t="shared" si="11"/>
        <v>55</v>
      </c>
      <c r="R70">
        <f t="shared" si="12"/>
        <v>0</v>
      </c>
      <c r="S70">
        <f t="shared" ca="1" si="13"/>
        <v>0</v>
      </c>
    </row>
    <row r="71" spans="1:19">
      <c r="A71" s="1" t="s">
        <v>24</v>
      </c>
      <c r="B71" s="2">
        <v>800</v>
      </c>
      <c r="C71" s="1">
        <v>0</v>
      </c>
      <c r="D71" s="1" t="s">
        <v>257</v>
      </c>
      <c r="E71" s="1">
        <v>99</v>
      </c>
      <c r="F71" s="3">
        <v>2200.33</v>
      </c>
      <c r="G71" s="1">
        <v>0</v>
      </c>
      <c r="H71" s="1" t="s">
        <v>258</v>
      </c>
      <c r="I71" s="1" t="s">
        <v>259</v>
      </c>
      <c r="J71" s="1" t="s">
        <v>260</v>
      </c>
      <c r="K71" s="1" t="s">
        <v>16</v>
      </c>
      <c r="L71" s="1" t="s">
        <v>28</v>
      </c>
      <c r="M71">
        <f t="shared" si="7"/>
        <v>800</v>
      </c>
      <c r="N71" t="str">
        <f t="shared" si="8"/>
        <v>1982-04-04</v>
      </c>
      <c r="O71">
        <f t="shared" si="9"/>
        <v>29</v>
      </c>
      <c r="P71" t="str">
        <f t="shared" si="10"/>
        <v>mężczyzna</v>
      </c>
      <c r="Q71">
        <f t="shared" si="11"/>
        <v>2</v>
      </c>
      <c r="R71">
        <f t="shared" si="12"/>
        <v>0</v>
      </c>
      <c r="S71">
        <f t="shared" ca="1" si="13"/>
        <v>0</v>
      </c>
    </row>
    <row r="72" spans="1:19">
      <c r="A72" s="1" t="s">
        <v>12</v>
      </c>
      <c r="B72" s="2">
        <v>200</v>
      </c>
      <c r="C72" s="1">
        <v>200</v>
      </c>
      <c r="D72" s="1" t="s">
        <v>261</v>
      </c>
      <c r="E72" s="1">
        <v>11</v>
      </c>
      <c r="F72" s="3">
        <v>1700</v>
      </c>
      <c r="G72" s="1">
        <v>5</v>
      </c>
      <c r="H72" s="1" t="s">
        <v>262</v>
      </c>
      <c r="I72" s="1" t="s">
        <v>263</v>
      </c>
      <c r="J72" s="1" t="s">
        <v>16</v>
      </c>
      <c r="K72" s="1" t="s">
        <v>196</v>
      </c>
      <c r="L72" s="1" t="s">
        <v>130</v>
      </c>
      <c r="M72">
        <f t="shared" si="7"/>
        <v>200</v>
      </c>
      <c r="N72" t="str">
        <f t="shared" si="8"/>
        <v>1958-08-25</v>
      </c>
      <c r="O72">
        <f t="shared" si="9"/>
        <v>53</v>
      </c>
      <c r="P72" t="str">
        <f t="shared" si="10"/>
        <v>kobieta</v>
      </c>
      <c r="Q72">
        <f t="shared" si="11"/>
        <v>205</v>
      </c>
      <c r="R72">
        <f t="shared" si="12"/>
        <v>48</v>
      </c>
      <c r="S72">
        <f t="shared" ca="1" si="13"/>
        <v>2</v>
      </c>
    </row>
    <row r="73" spans="1:19">
      <c r="A73" s="1" t="s">
        <v>19</v>
      </c>
      <c r="B73" s="2">
        <v>400</v>
      </c>
      <c r="C73" s="1">
        <v>400</v>
      </c>
      <c r="D73" s="1" t="s">
        <v>264</v>
      </c>
      <c r="E73" s="1">
        <v>11</v>
      </c>
      <c r="F73" s="3">
        <v>2700</v>
      </c>
      <c r="G73" s="1">
        <v>0</v>
      </c>
      <c r="H73" s="1" t="s">
        <v>265</v>
      </c>
      <c r="I73" s="1" t="s">
        <v>266</v>
      </c>
      <c r="J73" s="1" t="s">
        <v>16</v>
      </c>
      <c r="K73" s="1" t="s">
        <v>196</v>
      </c>
      <c r="L73" s="1" t="s">
        <v>197</v>
      </c>
      <c r="M73">
        <f t="shared" si="7"/>
        <v>400</v>
      </c>
      <c r="N73" t="str">
        <f t="shared" si="8"/>
        <v>1981-01-05</v>
      </c>
      <c r="O73">
        <f t="shared" si="9"/>
        <v>30</v>
      </c>
      <c r="P73" t="str">
        <f t="shared" si="10"/>
        <v>mężczyzna</v>
      </c>
      <c r="Q73">
        <f t="shared" si="11"/>
        <v>64</v>
      </c>
      <c r="R73">
        <f t="shared" si="12"/>
        <v>48</v>
      </c>
      <c r="S73">
        <f t="shared" ca="1" si="13"/>
        <v>5</v>
      </c>
    </row>
    <row r="74" spans="1:19">
      <c r="A74" s="1" t="s">
        <v>19</v>
      </c>
      <c r="B74" s="2">
        <v>500</v>
      </c>
      <c r="C74" s="1">
        <v>500</v>
      </c>
      <c r="D74" s="1" t="s">
        <v>267</v>
      </c>
      <c r="E74" s="1">
        <v>13</v>
      </c>
      <c r="F74" s="3">
        <v>1700</v>
      </c>
      <c r="G74" s="1">
        <v>4</v>
      </c>
      <c r="H74" s="1" t="s">
        <v>268</v>
      </c>
      <c r="I74" s="1" t="s">
        <v>15</v>
      </c>
      <c r="J74" s="1" t="s">
        <v>16</v>
      </c>
      <c r="K74" s="1" t="s">
        <v>196</v>
      </c>
      <c r="L74" s="1" t="s">
        <v>70</v>
      </c>
      <c r="M74">
        <f t="shared" si="7"/>
        <v>500</v>
      </c>
      <c r="N74" t="str">
        <f t="shared" si="8"/>
        <v>1939-10-16</v>
      </c>
      <c r="O74">
        <f t="shared" si="9"/>
        <v>72</v>
      </c>
      <c r="P74" t="str">
        <f t="shared" si="10"/>
        <v>mężczyzna</v>
      </c>
      <c r="Q74">
        <f t="shared" si="11"/>
        <v>14</v>
      </c>
      <c r="R74">
        <f t="shared" si="12"/>
        <v>48</v>
      </c>
      <c r="S74">
        <f t="shared" ca="1" si="13"/>
        <v>0</v>
      </c>
    </row>
    <row r="75" spans="1:19">
      <c r="A75" s="1" t="s">
        <v>24</v>
      </c>
      <c r="B75" s="2">
        <v>200</v>
      </c>
      <c r="C75" s="1">
        <v>0</v>
      </c>
      <c r="D75" s="1" t="s">
        <v>269</v>
      </c>
      <c r="E75" s="1">
        <v>16</v>
      </c>
      <c r="F75" s="3">
        <v>639.30999999999995</v>
      </c>
      <c r="G75" s="1">
        <v>0</v>
      </c>
      <c r="H75" s="1" t="s">
        <v>270</v>
      </c>
      <c r="I75" s="1" t="s">
        <v>271</v>
      </c>
      <c r="J75" s="1" t="s">
        <v>16</v>
      </c>
      <c r="K75" s="1" t="s">
        <v>16</v>
      </c>
      <c r="L75" s="1" t="s">
        <v>28</v>
      </c>
      <c r="M75">
        <f t="shared" si="7"/>
        <v>200</v>
      </c>
      <c r="N75" t="str">
        <f t="shared" si="8"/>
        <v>1952-03-10</v>
      </c>
      <c r="O75">
        <f t="shared" si="9"/>
        <v>59</v>
      </c>
      <c r="P75" t="str">
        <f t="shared" si="10"/>
        <v>kobieta</v>
      </c>
      <c r="Q75">
        <f t="shared" si="11"/>
        <v>417</v>
      </c>
      <c r="R75">
        <f t="shared" si="12"/>
        <v>48</v>
      </c>
      <c r="S75">
        <f t="shared" ca="1" si="13"/>
        <v>0</v>
      </c>
    </row>
    <row r="76" spans="1:19">
      <c r="A76" s="1" t="s">
        <v>19</v>
      </c>
      <c r="B76" s="2">
        <v>600</v>
      </c>
      <c r="C76" s="1">
        <v>600</v>
      </c>
      <c r="D76" s="1" t="s">
        <v>272</v>
      </c>
      <c r="E76" s="1">
        <v>11</v>
      </c>
      <c r="F76" s="3">
        <v>1700</v>
      </c>
      <c r="G76" s="1">
        <v>4</v>
      </c>
      <c r="H76" s="1" t="s">
        <v>273</v>
      </c>
      <c r="I76" s="1" t="s">
        <v>274</v>
      </c>
      <c r="J76" s="1" t="s">
        <v>16</v>
      </c>
      <c r="K76" s="1" t="s">
        <v>275</v>
      </c>
      <c r="L76" s="1" t="s">
        <v>125</v>
      </c>
      <c r="M76">
        <f t="shared" si="7"/>
        <v>600</v>
      </c>
      <c r="N76" t="str">
        <f t="shared" si="8"/>
        <v>1964-09-09</v>
      </c>
      <c r="O76">
        <f t="shared" si="9"/>
        <v>47</v>
      </c>
      <c r="P76" t="str">
        <f t="shared" si="10"/>
        <v>kobieta</v>
      </c>
      <c r="Q76">
        <f t="shared" si="11"/>
        <v>89</v>
      </c>
      <c r="R76">
        <f t="shared" si="12"/>
        <v>48</v>
      </c>
      <c r="S76">
        <f t="shared" ca="1" si="13"/>
        <v>6</v>
      </c>
    </row>
    <row r="77" spans="1:19">
      <c r="A77" s="1" t="s">
        <v>19</v>
      </c>
      <c r="B77" s="2">
        <v>500</v>
      </c>
      <c r="C77" s="1">
        <v>300</v>
      </c>
      <c r="D77" s="1" t="s">
        <v>276</v>
      </c>
      <c r="E77" s="1">
        <v>13</v>
      </c>
      <c r="F77" s="3">
        <v>1295.3699999999999</v>
      </c>
      <c r="G77" s="1">
        <v>0</v>
      </c>
      <c r="H77" s="1" t="s">
        <v>277</v>
      </c>
      <c r="I77" s="1" t="s">
        <v>278</v>
      </c>
      <c r="J77" s="1" t="s">
        <v>16</v>
      </c>
      <c r="K77" s="1" t="s">
        <v>275</v>
      </c>
      <c r="L77" s="1" t="s">
        <v>35</v>
      </c>
      <c r="M77">
        <f t="shared" si="7"/>
        <v>300</v>
      </c>
      <c r="N77" t="str">
        <f t="shared" si="8"/>
        <v>1940-11-07</v>
      </c>
      <c r="O77">
        <f t="shared" si="9"/>
        <v>71</v>
      </c>
      <c r="P77" t="str">
        <f t="shared" si="10"/>
        <v>mężczyzna</v>
      </c>
      <c r="Q77">
        <f t="shared" si="11"/>
        <v>307</v>
      </c>
      <c r="R77">
        <f t="shared" si="12"/>
        <v>48</v>
      </c>
      <c r="S77">
        <f t="shared" ca="1" si="13"/>
        <v>0</v>
      </c>
    </row>
    <row r="78" spans="1:19">
      <c r="A78" s="1" t="s">
        <v>24</v>
      </c>
      <c r="B78" s="2">
        <v>300</v>
      </c>
      <c r="C78" s="1">
        <v>0</v>
      </c>
      <c r="D78" s="1" t="s">
        <v>279</v>
      </c>
      <c r="E78" s="1">
        <v>13</v>
      </c>
      <c r="F78" s="3">
        <v>1390.98</v>
      </c>
      <c r="G78" s="1">
        <v>0</v>
      </c>
      <c r="H78" s="1" t="s">
        <v>280</v>
      </c>
      <c r="I78" s="1" t="s">
        <v>281</v>
      </c>
      <c r="J78" s="1" t="s">
        <v>16</v>
      </c>
      <c r="K78" s="1" t="s">
        <v>16</v>
      </c>
      <c r="L78" s="1" t="s">
        <v>28</v>
      </c>
      <c r="M78">
        <f t="shared" si="7"/>
        <v>300</v>
      </c>
      <c r="N78" t="str">
        <f t="shared" si="8"/>
        <v>1950-08-09</v>
      </c>
      <c r="O78">
        <f t="shared" si="9"/>
        <v>61</v>
      </c>
      <c r="P78" t="str">
        <f t="shared" si="10"/>
        <v>kobieta</v>
      </c>
      <c r="Q78">
        <f t="shared" si="11"/>
        <v>73</v>
      </c>
      <c r="R78">
        <f t="shared" si="12"/>
        <v>48</v>
      </c>
      <c r="S78">
        <f t="shared" ca="1" si="13"/>
        <v>0</v>
      </c>
    </row>
    <row r="79" spans="1:19">
      <c r="A79" s="1" t="s">
        <v>12</v>
      </c>
      <c r="B79" s="2">
        <v>300</v>
      </c>
      <c r="C79" s="1">
        <v>300</v>
      </c>
      <c r="D79" s="1" t="s">
        <v>282</v>
      </c>
      <c r="E79" s="1">
        <v>11</v>
      </c>
      <c r="F79" s="3">
        <v>1400</v>
      </c>
      <c r="G79" s="1">
        <v>0</v>
      </c>
      <c r="H79" s="1" t="s">
        <v>283</v>
      </c>
      <c r="I79" s="1" t="s">
        <v>284</v>
      </c>
      <c r="J79" s="1" t="s">
        <v>16</v>
      </c>
      <c r="K79" s="1" t="s">
        <v>275</v>
      </c>
      <c r="L79" s="1" t="s">
        <v>285</v>
      </c>
      <c r="M79">
        <f t="shared" si="7"/>
        <v>300</v>
      </c>
      <c r="N79" t="str">
        <f t="shared" si="8"/>
        <v>1962-02-25</v>
      </c>
      <c r="O79">
        <f t="shared" si="9"/>
        <v>49</v>
      </c>
      <c r="P79" t="str">
        <f t="shared" si="10"/>
        <v>mężczyzna</v>
      </c>
      <c r="Q79">
        <f t="shared" si="11"/>
        <v>14</v>
      </c>
      <c r="R79">
        <f t="shared" si="12"/>
        <v>48</v>
      </c>
      <c r="S79">
        <f t="shared" ca="1" si="13"/>
        <v>9</v>
      </c>
    </row>
    <row r="80" spans="1:19">
      <c r="A80" s="1" t="s">
        <v>12</v>
      </c>
      <c r="B80" s="2">
        <v>300</v>
      </c>
      <c r="C80" s="1">
        <v>300</v>
      </c>
      <c r="D80" s="1" t="s">
        <v>286</v>
      </c>
      <c r="E80" s="1">
        <v>11</v>
      </c>
      <c r="F80" s="3">
        <v>1300</v>
      </c>
      <c r="G80" s="1">
        <v>0</v>
      </c>
      <c r="H80" s="1" t="s">
        <v>287</v>
      </c>
      <c r="I80" s="1" t="s">
        <v>288</v>
      </c>
      <c r="J80" s="1" t="s">
        <v>16</v>
      </c>
      <c r="K80" s="1" t="s">
        <v>275</v>
      </c>
      <c r="L80" s="1" t="s">
        <v>35</v>
      </c>
      <c r="M80">
        <f t="shared" si="7"/>
        <v>300</v>
      </c>
      <c r="N80" t="str">
        <f t="shared" si="8"/>
        <v>1958-12-16</v>
      </c>
      <c r="O80">
        <f t="shared" si="9"/>
        <v>53</v>
      </c>
      <c r="P80" t="str">
        <f t="shared" si="10"/>
        <v>mężczyzna</v>
      </c>
      <c r="Q80">
        <f t="shared" si="11"/>
        <v>452</v>
      </c>
      <c r="R80">
        <f t="shared" si="12"/>
        <v>48</v>
      </c>
      <c r="S80">
        <f t="shared" ca="1" si="13"/>
        <v>0</v>
      </c>
    </row>
    <row r="81" spans="1:19">
      <c r="A81" s="1" t="s">
        <v>12</v>
      </c>
      <c r="B81" s="2">
        <v>200</v>
      </c>
      <c r="C81" s="1">
        <v>200</v>
      </c>
      <c r="D81" s="1" t="s">
        <v>289</v>
      </c>
      <c r="E81" s="1">
        <v>11</v>
      </c>
      <c r="F81" s="3">
        <v>1373.34</v>
      </c>
      <c r="G81" s="1">
        <v>2</v>
      </c>
      <c r="H81" s="1" t="s">
        <v>290</v>
      </c>
      <c r="I81" s="1" t="s">
        <v>291</v>
      </c>
      <c r="J81" s="1" t="s">
        <v>16</v>
      </c>
      <c r="K81" s="1" t="s">
        <v>275</v>
      </c>
      <c r="L81" s="1" t="s">
        <v>292</v>
      </c>
      <c r="M81">
        <f t="shared" si="7"/>
        <v>200</v>
      </c>
      <c r="N81" t="str">
        <f t="shared" si="8"/>
        <v>1981-03-29</v>
      </c>
      <c r="O81">
        <f t="shared" si="9"/>
        <v>30</v>
      </c>
      <c r="P81" t="str">
        <f t="shared" si="10"/>
        <v>kobieta</v>
      </c>
      <c r="Q81">
        <f t="shared" si="11"/>
        <v>58</v>
      </c>
      <c r="R81">
        <f t="shared" si="12"/>
        <v>48</v>
      </c>
      <c r="S81">
        <f t="shared" ca="1" si="13"/>
        <v>270</v>
      </c>
    </row>
    <row r="82" spans="1:19">
      <c r="A82" s="1" t="s">
        <v>12</v>
      </c>
      <c r="B82" s="2">
        <v>200</v>
      </c>
      <c r="C82" s="1">
        <v>200</v>
      </c>
      <c r="D82" s="1" t="s">
        <v>293</v>
      </c>
      <c r="E82" s="1">
        <v>16</v>
      </c>
      <c r="F82" s="3">
        <v>703</v>
      </c>
      <c r="G82" s="1">
        <v>4</v>
      </c>
      <c r="H82" s="1" t="s">
        <v>294</v>
      </c>
      <c r="I82" s="1" t="s">
        <v>295</v>
      </c>
      <c r="J82" s="1" t="s">
        <v>16</v>
      </c>
      <c r="K82" s="1" t="s">
        <v>275</v>
      </c>
      <c r="L82" s="1" t="s">
        <v>118</v>
      </c>
      <c r="M82">
        <f t="shared" si="7"/>
        <v>200</v>
      </c>
      <c r="N82" t="str">
        <f t="shared" si="8"/>
        <v>1954-03-19</v>
      </c>
      <c r="O82">
        <f t="shared" si="9"/>
        <v>57</v>
      </c>
      <c r="P82" t="str">
        <f t="shared" si="10"/>
        <v>kobieta</v>
      </c>
      <c r="Q82">
        <f t="shared" si="11"/>
        <v>26</v>
      </c>
      <c r="R82">
        <f t="shared" si="12"/>
        <v>48</v>
      </c>
      <c r="S82">
        <f t="shared" ca="1" si="13"/>
        <v>0</v>
      </c>
    </row>
    <row r="83" spans="1:19">
      <c r="A83" s="1" t="s">
        <v>12</v>
      </c>
      <c r="B83" s="2">
        <v>1000</v>
      </c>
      <c r="C83" s="1">
        <v>1000</v>
      </c>
      <c r="D83" s="1" t="s">
        <v>296</v>
      </c>
      <c r="E83" s="1">
        <v>11</v>
      </c>
      <c r="F83" s="3">
        <v>2258</v>
      </c>
      <c r="G83" s="1">
        <v>5</v>
      </c>
      <c r="H83" s="1" t="s">
        <v>297</v>
      </c>
      <c r="I83" s="1" t="s">
        <v>224</v>
      </c>
      <c r="J83" s="1" t="s">
        <v>16</v>
      </c>
      <c r="K83" s="1" t="s">
        <v>275</v>
      </c>
      <c r="L83" s="1" t="s">
        <v>197</v>
      </c>
      <c r="M83">
        <f t="shared" si="7"/>
        <v>1000</v>
      </c>
      <c r="N83" t="str">
        <f t="shared" si="8"/>
        <v>1969-10-25</v>
      </c>
      <c r="O83">
        <f t="shared" si="9"/>
        <v>42</v>
      </c>
      <c r="P83" t="str">
        <f t="shared" si="10"/>
        <v>mężczyzna</v>
      </c>
      <c r="Q83">
        <f t="shared" si="11"/>
        <v>75</v>
      </c>
      <c r="R83">
        <f t="shared" si="12"/>
        <v>48</v>
      </c>
      <c r="S83">
        <f t="shared" ca="1" si="13"/>
        <v>4</v>
      </c>
    </row>
    <row r="84" spans="1:19">
      <c r="A84" s="1" t="s">
        <v>24</v>
      </c>
      <c r="B84" s="2">
        <v>300</v>
      </c>
      <c r="C84" s="1">
        <v>0</v>
      </c>
      <c r="D84" s="1" t="s">
        <v>298</v>
      </c>
      <c r="E84" s="1">
        <v>13</v>
      </c>
      <c r="F84" s="3">
        <v>1131.5</v>
      </c>
      <c r="G84" s="1">
        <v>0</v>
      </c>
      <c r="H84" s="1" t="s">
        <v>299</v>
      </c>
      <c r="I84" s="1" t="s">
        <v>300</v>
      </c>
      <c r="J84" s="1" t="s">
        <v>16</v>
      </c>
      <c r="K84" s="1" t="s">
        <v>16</v>
      </c>
      <c r="L84" s="1" t="s">
        <v>28</v>
      </c>
      <c r="M84">
        <f t="shared" si="7"/>
        <v>300</v>
      </c>
      <c r="N84" t="str">
        <f t="shared" si="8"/>
        <v>1945-08-18</v>
      </c>
      <c r="O84">
        <f t="shared" si="9"/>
        <v>66</v>
      </c>
      <c r="P84" t="str">
        <f t="shared" si="10"/>
        <v>mężczyzna</v>
      </c>
      <c r="Q84">
        <f t="shared" si="11"/>
        <v>20</v>
      </c>
      <c r="R84">
        <f t="shared" si="12"/>
        <v>48</v>
      </c>
      <c r="S84">
        <f t="shared" ca="1" si="13"/>
        <v>0</v>
      </c>
    </row>
    <row r="85" spans="1:19">
      <c r="A85" s="1" t="s">
        <v>19</v>
      </c>
      <c r="B85" s="2">
        <v>200</v>
      </c>
      <c r="C85" s="1">
        <v>200</v>
      </c>
      <c r="D85" s="1" t="s">
        <v>301</v>
      </c>
      <c r="E85" s="1">
        <v>13</v>
      </c>
      <c r="F85" s="3">
        <v>910</v>
      </c>
      <c r="G85" s="1">
        <v>5</v>
      </c>
      <c r="H85" s="1" t="s">
        <v>302</v>
      </c>
      <c r="I85" s="1" t="s">
        <v>303</v>
      </c>
      <c r="J85" s="1" t="s">
        <v>16</v>
      </c>
      <c r="K85" s="1" t="s">
        <v>304</v>
      </c>
      <c r="L85" s="1" t="s">
        <v>130</v>
      </c>
      <c r="M85">
        <f t="shared" si="7"/>
        <v>200</v>
      </c>
      <c r="N85" t="str">
        <f t="shared" si="8"/>
        <v>1945-11-27</v>
      </c>
      <c r="O85">
        <f t="shared" si="9"/>
        <v>66</v>
      </c>
      <c r="P85" t="str">
        <f t="shared" si="10"/>
        <v>kobieta</v>
      </c>
      <c r="Q85">
        <f t="shared" si="11"/>
        <v>70</v>
      </c>
      <c r="R85">
        <f t="shared" si="12"/>
        <v>48</v>
      </c>
      <c r="S85">
        <f t="shared" ca="1" si="13"/>
        <v>0</v>
      </c>
    </row>
    <row r="86" spans="1:19">
      <c r="A86" s="1" t="s">
        <v>19</v>
      </c>
      <c r="B86" s="2">
        <v>200</v>
      </c>
      <c r="C86" s="1">
        <v>200</v>
      </c>
      <c r="D86" s="1" t="s">
        <v>305</v>
      </c>
      <c r="E86" s="1">
        <v>12</v>
      </c>
      <c r="F86" s="3">
        <v>1100</v>
      </c>
      <c r="G86" s="1">
        <v>1</v>
      </c>
      <c r="H86" s="1" t="s">
        <v>306</v>
      </c>
      <c r="I86" s="1" t="s">
        <v>307</v>
      </c>
      <c r="J86" s="1" t="s">
        <v>63</v>
      </c>
      <c r="K86" s="1" t="s">
        <v>304</v>
      </c>
      <c r="L86" s="1" t="s">
        <v>308</v>
      </c>
      <c r="M86">
        <f t="shared" si="7"/>
        <v>200</v>
      </c>
      <c r="N86" t="str">
        <f t="shared" si="8"/>
        <v>1985-05-07</v>
      </c>
      <c r="O86">
        <f t="shared" si="9"/>
        <v>26</v>
      </c>
      <c r="P86" t="str">
        <f t="shared" si="10"/>
        <v>kobieta</v>
      </c>
      <c r="Q86">
        <f t="shared" si="11"/>
        <v>15</v>
      </c>
      <c r="R86">
        <f t="shared" si="12"/>
        <v>2</v>
      </c>
      <c r="S86">
        <f t="shared" ca="1" si="13"/>
        <v>4</v>
      </c>
    </row>
    <row r="87" spans="1:19">
      <c r="A87" s="1" t="s">
        <v>309</v>
      </c>
      <c r="B87" s="2">
        <v>700</v>
      </c>
      <c r="C87" s="1">
        <v>700</v>
      </c>
      <c r="D87" s="1" t="s">
        <v>310</v>
      </c>
      <c r="E87" s="1">
        <v>12</v>
      </c>
      <c r="F87" s="3">
        <v>3000</v>
      </c>
      <c r="G87" s="1">
        <v>0</v>
      </c>
      <c r="H87" s="1" t="s">
        <v>311</v>
      </c>
      <c r="I87" s="1" t="s">
        <v>312</v>
      </c>
      <c r="J87" s="1" t="s">
        <v>63</v>
      </c>
      <c r="K87" s="1" t="s">
        <v>304</v>
      </c>
      <c r="L87" s="1" t="s">
        <v>313</v>
      </c>
      <c r="M87">
        <f t="shared" si="7"/>
        <v>700</v>
      </c>
      <c r="N87" t="str">
        <f t="shared" si="8"/>
        <v>1974-04-23</v>
      </c>
      <c r="O87">
        <f t="shared" si="9"/>
        <v>37</v>
      </c>
      <c r="P87" t="str">
        <f t="shared" si="10"/>
        <v>mężczyzna</v>
      </c>
      <c r="Q87">
        <f t="shared" si="11"/>
        <v>8</v>
      </c>
      <c r="R87">
        <f t="shared" si="12"/>
        <v>2</v>
      </c>
      <c r="S87">
        <f t="shared" ca="1" si="13"/>
        <v>20</v>
      </c>
    </row>
    <row r="88" spans="1:19">
      <c r="A88" s="1" t="s">
        <v>19</v>
      </c>
      <c r="B88" s="2">
        <v>200</v>
      </c>
      <c r="C88" s="1">
        <v>200</v>
      </c>
      <c r="D88" s="1" t="s">
        <v>314</v>
      </c>
      <c r="E88" s="1">
        <v>11</v>
      </c>
      <c r="F88" s="3">
        <v>2094.17</v>
      </c>
      <c r="G88" s="1">
        <v>1</v>
      </c>
      <c r="H88" s="1" t="s">
        <v>315</v>
      </c>
      <c r="I88" s="1" t="s">
        <v>316</v>
      </c>
      <c r="J88" s="1" t="s">
        <v>16</v>
      </c>
      <c r="K88" s="1" t="s">
        <v>304</v>
      </c>
      <c r="L88" s="1" t="s">
        <v>130</v>
      </c>
      <c r="M88">
        <f t="shared" si="7"/>
        <v>200</v>
      </c>
      <c r="N88" t="str">
        <f t="shared" si="8"/>
        <v>1958-03-18</v>
      </c>
      <c r="O88">
        <f t="shared" si="9"/>
        <v>53</v>
      </c>
      <c r="P88" t="str">
        <f t="shared" si="10"/>
        <v>mężczyzna</v>
      </c>
      <c r="Q88">
        <f t="shared" si="11"/>
        <v>241</v>
      </c>
      <c r="R88">
        <f t="shared" si="12"/>
        <v>48</v>
      </c>
      <c r="S88">
        <f t="shared" ca="1" si="13"/>
        <v>0</v>
      </c>
    </row>
    <row r="89" spans="1:19">
      <c r="A89" s="1" t="s">
        <v>12</v>
      </c>
      <c r="B89" s="2">
        <v>300</v>
      </c>
      <c r="C89" s="1">
        <v>300</v>
      </c>
      <c r="D89" s="1" t="s">
        <v>317</v>
      </c>
      <c r="E89" s="1">
        <v>11</v>
      </c>
      <c r="F89" s="3">
        <v>2899.34</v>
      </c>
      <c r="G89" s="1">
        <v>1</v>
      </c>
      <c r="H89" s="1" t="s">
        <v>318</v>
      </c>
      <c r="I89" s="1" t="s">
        <v>319</v>
      </c>
      <c r="J89" s="1" t="s">
        <v>16</v>
      </c>
      <c r="K89" s="1" t="s">
        <v>304</v>
      </c>
      <c r="L89" s="1" t="s">
        <v>118</v>
      </c>
      <c r="M89">
        <f t="shared" si="7"/>
        <v>300</v>
      </c>
      <c r="N89" t="str">
        <f t="shared" si="8"/>
        <v>1976-02-28</v>
      </c>
      <c r="O89">
        <f t="shared" si="9"/>
        <v>35</v>
      </c>
      <c r="P89" t="str">
        <f t="shared" si="10"/>
        <v>kobieta</v>
      </c>
      <c r="Q89">
        <f t="shared" si="11"/>
        <v>121</v>
      </c>
      <c r="R89">
        <f t="shared" si="12"/>
        <v>48</v>
      </c>
      <c r="S89">
        <f t="shared" ca="1" si="13"/>
        <v>0</v>
      </c>
    </row>
    <row r="90" spans="1:19">
      <c r="A90" s="1" t="s">
        <v>19</v>
      </c>
      <c r="B90" s="2">
        <v>200</v>
      </c>
      <c r="C90" s="1">
        <v>200</v>
      </c>
      <c r="D90" s="1" t="s">
        <v>320</v>
      </c>
      <c r="E90" s="1">
        <v>13</v>
      </c>
      <c r="F90" s="3">
        <v>722.05</v>
      </c>
      <c r="G90" s="1">
        <v>4</v>
      </c>
      <c r="H90" s="1" t="s">
        <v>321</v>
      </c>
      <c r="I90" s="1" t="s">
        <v>322</v>
      </c>
      <c r="J90" s="1" t="s">
        <v>16</v>
      </c>
      <c r="K90" s="1" t="s">
        <v>304</v>
      </c>
      <c r="L90" s="1" t="s">
        <v>130</v>
      </c>
      <c r="M90">
        <f t="shared" si="7"/>
        <v>200</v>
      </c>
      <c r="N90" t="str">
        <f t="shared" si="8"/>
        <v>1940-07-28</v>
      </c>
      <c r="O90">
        <f t="shared" si="9"/>
        <v>71</v>
      </c>
      <c r="P90" t="str">
        <f t="shared" si="10"/>
        <v>kobieta</v>
      </c>
      <c r="Q90">
        <f t="shared" si="11"/>
        <v>197</v>
      </c>
      <c r="R90">
        <f t="shared" si="12"/>
        <v>48</v>
      </c>
      <c r="S90">
        <f t="shared" ca="1" si="13"/>
        <v>0</v>
      </c>
    </row>
    <row r="91" spans="1:19">
      <c r="A91" s="1" t="s">
        <v>19</v>
      </c>
      <c r="B91" s="2">
        <v>515.96</v>
      </c>
      <c r="C91" s="1">
        <v>515.96</v>
      </c>
      <c r="D91" s="1" t="s">
        <v>323</v>
      </c>
      <c r="E91" s="1">
        <v>13</v>
      </c>
      <c r="F91" s="3">
        <v>1801.41</v>
      </c>
      <c r="G91" s="1">
        <v>0</v>
      </c>
      <c r="H91" s="1" t="s">
        <v>324</v>
      </c>
      <c r="I91" s="1" t="s">
        <v>325</v>
      </c>
      <c r="J91" s="1" t="s">
        <v>16</v>
      </c>
      <c r="K91" s="1" t="s">
        <v>304</v>
      </c>
      <c r="L91" s="1" t="s">
        <v>211</v>
      </c>
      <c r="M91">
        <f t="shared" si="7"/>
        <v>515.96</v>
      </c>
      <c r="N91" t="str">
        <f t="shared" si="8"/>
        <v>1953-02-06</v>
      </c>
      <c r="O91">
        <f t="shared" si="9"/>
        <v>58</v>
      </c>
      <c r="P91" t="str">
        <f t="shared" si="10"/>
        <v>kobieta</v>
      </c>
      <c r="Q91">
        <f t="shared" si="11"/>
        <v>38</v>
      </c>
      <c r="R91">
        <f t="shared" si="12"/>
        <v>48</v>
      </c>
      <c r="S91">
        <f t="shared" ca="1" si="13"/>
        <v>6</v>
      </c>
    </row>
    <row r="92" spans="1:19">
      <c r="A92" s="1" t="s">
        <v>19</v>
      </c>
      <c r="B92" s="2">
        <v>1000</v>
      </c>
      <c r="C92" s="1">
        <v>1000</v>
      </c>
      <c r="D92" s="1" t="s">
        <v>326</v>
      </c>
      <c r="E92" s="1">
        <v>13</v>
      </c>
      <c r="F92" s="3">
        <v>1820</v>
      </c>
      <c r="G92" s="1">
        <v>0</v>
      </c>
      <c r="H92" s="1" t="s">
        <v>327</v>
      </c>
      <c r="I92" s="1" t="s">
        <v>328</v>
      </c>
      <c r="J92" s="1" t="s">
        <v>16</v>
      </c>
      <c r="K92" s="1" t="s">
        <v>304</v>
      </c>
      <c r="L92" s="1" t="s">
        <v>130</v>
      </c>
      <c r="M92">
        <f t="shared" si="7"/>
        <v>1000</v>
      </c>
      <c r="N92" t="str">
        <f t="shared" si="8"/>
        <v>1950-04-04</v>
      </c>
      <c r="O92">
        <f t="shared" si="9"/>
        <v>61</v>
      </c>
      <c r="P92" t="str">
        <f t="shared" si="10"/>
        <v>kobieta</v>
      </c>
      <c r="Q92">
        <f t="shared" si="11"/>
        <v>69</v>
      </c>
      <c r="R92">
        <f t="shared" si="12"/>
        <v>48</v>
      </c>
      <c r="S92">
        <f t="shared" ca="1" si="13"/>
        <v>0</v>
      </c>
    </row>
    <row r="93" spans="1:19">
      <c r="A93" s="1" t="s">
        <v>24</v>
      </c>
      <c r="B93" s="2">
        <v>200</v>
      </c>
      <c r="C93" s="1">
        <v>0</v>
      </c>
      <c r="D93" s="1" t="s">
        <v>329</v>
      </c>
      <c r="E93" s="1">
        <v>13</v>
      </c>
      <c r="F93" s="3">
        <v>855</v>
      </c>
      <c r="G93" s="1">
        <v>0</v>
      </c>
      <c r="H93" s="1" t="s">
        <v>330</v>
      </c>
      <c r="I93" s="1" t="s">
        <v>200</v>
      </c>
      <c r="J93" s="1" t="s">
        <v>16</v>
      </c>
      <c r="K93" s="1" t="s">
        <v>16</v>
      </c>
      <c r="L93" s="1" t="s">
        <v>28</v>
      </c>
      <c r="M93">
        <f t="shared" si="7"/>
        <v>200</v>
      </c>
      <c r="N93" t="str">
        <f t="shared" si="8"/>
        <v>1950-01-16</v>
      </c>
      <c r="O93">
        <f t="shared" si="9"/>
        <v>61</v>
      </c>
      <c r="P93" t="str">
        <f t="shared" si="10"/>
        <v>kobieta</v>
      </c>
      <c r="Q93">
        <f t="shared" si="11"/>
        <v>84</v>
      </c>
      <c r="R93">
        <f t="shared" si="12"/>
        <v>48</v>
      </c>
      <c r="S93">
        <f t="shared" ca="1" si="13"/>
        <v>0</v>
      </c>
    </row>
    <row r="94" spans="1:19">
      <c r="A94" s="1" t="s">
        <v>19</v>
      </c>
      <c r="B94" s="2">
        <v>1000</v>
      </c>
      <c r="C94" s="1">
        <v>400</v>
      </c>
      <c r="D94" s="1" t="s">
        <v>331</v>
      </c>
      <c r="E94" s="1">
        <v>13</v>
      </c>
      <c r="F94" s="3">
        <v>1870</v>
      </c>
      <c r="G94" s="1">
        <v>0</v>
      </c>
      <c r="H94" s="1" t="s">
        <v>332</v>
      </c>
      <c r="I94" s="1" t="s">
        <v>333</v>
      </c>
      <c r="J94" s="1" t="s">
        <v>16</v>
      </c>
      <c r="K94" s="1" t="s">
        <v>304</v>
      </c>
      <c r="L94" s="1" t="s">
        <v>130</v>
      </c>
      <c r="M94">
        <f t="shared" si="7"/>
        <v>400</v>
      </c>
      <c r="N94" t="str">
        <f t="shared" si="8"/>
        <v>1939-05-13</v>
      </c>
      <c r="O94">
        <f t="shared" si="9"/>
        <v>72</v>
      </c>
      <c r="P94" t="str">
        <f t="shared" si="10"/>
        <v>mężczyzna</v>
      </c>
      <c r="Q94">
        <f t="shared" si="11"/>
        <v>85</v>
      </c>
      <c r="R94">
        <f t="shared" si="12"/>
        <v>48</v>
      </c>
      <c r="S94">
        <f t="shared" ca="1" si="13"/>
        <v>0</v>
      </c>
    </row>
    <row r="95" spans="1:19">
      <c r="A95" s="1" t="s">
        <v>19</v>
      </c>
      <c r="B95" s="2">
        <v>500</v>
      </c>
      <c r="C95" s="1">
        <v>500</v>
      </c>
      <c r="D95" s="1" t="s">
        <v>334</v>
      </c>
      <c r="E95" s="1">
        <v>16</v>
      </c>
      <c r="F95" s="3">
        <v>1770</v>
      </c>
      <c r="G95" s="1">
        <v>5</v>
      </c>
      <c r="H95" s="1" t="s">
        <v>335</v>
      </c>
      <c r="I95" s="1" t="s">
        <v>336</v>
      </c>
      <c r="J95" s="1" t="s">
        <v>16</v>
      </c>
      <c r="K95" s="1" t="s">
        <v>304</v>
      </c>
      <c r="L95" s="1" t="s">
        <v>130</v>
      </c>
      <c r="M95">
        <f t="shared" si="7"/>
        <v>500</v>
      </c>
      <c r="N95" t="str">
        <f t="shared" si="8"/>
        <v>1953-04-19</v>
      </c>
      <c r="O95">
        <f t="shared" si="9"/>
        <v>58</v>
      </c>
      <c r="P95" t="str">
        <f t="shared" si="10"/>
        <v>mężczyzna</v>
      </c>
      <c r="Q95">
        <f t="shared" si="11"/>
        <v>89</v>
      </c>
      <c r="R95">
        <f t="shared" si="12"/>
        <v>48</v>
      </c>
      <c r="S95">
        <f t="shared" ca="1" si="13"/>
        <v>0</v>
      </c>
    </row>
    <row r="96" spans="1:19">
      <c r="A96" s="1" t="s">
        <v>56</v>
      </c>
      <c r="B96" s="2">
        <v>200</v>
      </c>
      <c r="C96" s="1">
        <v>200</v>
      </c>
      <c r="D96" s="1" t="s">
        <v>337</v>
      </c>
      <c r="E96" s="1">
        <v>11</v>
      </c>
      <c r="F96" s="3">
        <v>1037.3399999999999</v>
      </c>
      <c r="G96" s="1">
        <v>0</v>
      </c>
      <c r="H96" s="1" t="s">
        <v>338</v>
      </c>
      <c r="I96" s="1" t="s">
        <v>339</v>
      </c>
      <c r="J96" s="1" t="s">
        <v>16</v>
      </c>
      <c r="K96" s="1" t="s">
        <v>304</v>
      </c>
      <c r="L96" s="1" t="s">
        <v>28</v>
      </c>
      <c r="M96">
        <f t="shared" si="7"/>
        <v>200</v>
      </c>
      <c r="N96" t="str">
        <f t="shared" si="8"/>
        <v>1970-05-02</v>
      </c>
      <c r="O96">
        <f t="shared" si="9"/>
        <v>41</v>
      </c>
      <c r="P96" t="str">
        <f t="shared" si="10"/>
        <v>kobieta</v>
      </c>
      <c r="Q96">
        <f t="shared" si="11"/>
        <v>62</v>
      </c>
      <c r="R96">
        <f t="shared" si="12"/>
        <v>48</v>
      </c>
      <c r="S96">
        <f t="shared" ca="1" si="13"/>
        <v>5268</v>
      </c>
    </row>
    <row r="97" spans="1:19">
      <c r="A97" s="1" t="s">
        <v>309</v>
      </c>
      <c r="B97" s="2">
        <v>397.31</v>
      </c>
      <c r="C97" s="1">
        <v>397.31</v>
      </c>
      <c r="D97" s="1" t="s">
        <v>340</v>
      </c>
      <c r="E97" s="1">
        <v>13</v>
      </c>
      <c r="F97" s="3">
        <v>1149.06</v>
      </c>
      <c r="G97" s="1">
        <v>0</v>
      </c>
      <c r="H97" s="1" t="s">
        <v>341</v>
      </c>
      <c r="I97" s="1" t="s">
        <v>234</v>
      </c>
      <c r="J97" s="1" t="s">
        <v>16</v>
      </c>
      <c r="K97" s="1" t="s">
        <v>304</v>
      </c>
      <c r="L97" s="1" t="s">
        <v>342</v>
      </c>
      <c r="M97">
        <f t="shared" si="7"/>
        <v>397.31</v>
      </c>
      <c r="N97" t="str">
        <f t="shared" si="8"/>
        <v>1951-09-23</v>
      </c>
      <c r="O97">
        <f t="shared" si="9"/>
        <v>60</v>
      </c>
      <c r="P97" t="str">
        <f t="shared" si="10"/>
        <v>kobieta</v>
      </c>
      <c r="Q97">
        <f t="shared" si="11"/>
        <v>161</v>
      </c>
      <c r="R97">
        <f t="shared" si="12"/>
        <v>48</v>
      </c>
      <c r="S97">
        <f t="shared" ca="1" si="13"/>
        <v>263</v>
      </c>
    </row>
    <row r="98" spans="1:19">
      <c r="A98" s="1" t="s">
        <v>19</v>
      </c>
      <c r="B98" s="2">
        <v>400</v>
      </c>
      <c r="C98" s="1">
        <v>400</v>
      </c>
      <c r="D98" s="1" t="s">
        <v>343</v>
      </c>
      <c r="E98" s="1">
        <v>13</v>
      </c>
      <c r="F98" s="3">
        <v>850</v>
      </c>
      <c r="G98" s="1">
        <v>4</v>
      </c>
      <c r="H98" s="1" t="s">
        <v>344</v>
      </c>
      <c r="I98" s="1" t="s">
        <v>345</v>
      </c>
      <c r="J98" s="1" t="s">
        <v>16</v>
      </c>
      <c r="K98" s="1" t="s">
        <v>304</v>
      </c>
      <c r="L98" s="1" t="s">
        <v>197</v>
      </c>
      <c r="M98">
        <f t="shared" si="7"/>
        <v>400</v>
      </c>
      <c r="N98" t="str">
        <f t="shared" si="8"/>
        <v>1945-10-21</v>
      </c>
      <c r="O98">
        <f t="shared" si="9"/>
        <v>66</v>
      </c>
      <c r="P98" t="str">
        <f t="shared" si="10"/>
        <v>kobieta</v>
      </c>
      <c r="Q98">
        <f t="shared" si="11"/>
        <v>67</v>
      </c>
      <c r="R98">
        <f t="shared" si="12"/>
        <v>48</v>
      </c>
      <c r="S98">
        <f t="shared" ca="1" si="13"/>
        <v>3</v>
      </c>
    </row>
    <row r="99" spans="1:19">
      <c r="A99" s="1" t="s">
        <v>19</v>
      </c>
      <c r="B99" s="2">
        <v>200</v>
      </c>
      <c r="C99" s="1">
        <v>200</v>
      </c>
      <c r="D99" s="1" t="s">
        <v>346</v>
      </c>
      <c r="E99" s="1">
        <v>99</v>
      </c>
      <c r="F99" s="3">
        <v>1393.85</v>
      </c>
      <c r="G99" s="1">
        <v>3</v>
      </c>
      <c r="H99" s="1" t="s">
        <v>347</v>
      </c>
      <c r="I99" s="1" t="s">
        <v>348</v>
      </c>
      <c r="J99" s="1" t="s">
        <v>349</v>
      </c>
      <c r="K99" s="1" t="s">
        <v>304</v>
      </c>
      <c r="L99" s="1" t="s">
        <v>308</v>
      </c>
      <c r="M99">
        <f t="shared" si="7"/>
        <v>200</v>
      </c>
      <c r="N99" t="str">
        <f t="shared" si="8"/>
        <v>1982-03-17</v>
      </c>
      <c r="O99">
        <f t="shared" si="9"/>
        <v>29</v>
      </c>
      <c r="P99" t="str">
        <f t="shared" si="10"/>
        <v>mężczyzna</v>
      </c>
      <c r="Q99">
        <f t="shared" si="11"/>
        <v>5</v>
      </c>
      <c r="R99">
        <f t="shared" si="12"/>
        <v>0</v>
      </c>
      <c r="S99">
        <f t="shared" ca="1" si="13"/>
        <v>4</v>
      </c>
    </row>
    <row r="100" spans="1:19">
      <c r="A100" s="1" t="s">
        <v>12</v>
      </c>
      <c r="B100" s="2">
        <v>300</v>
      </c>
      <c r="C100" s="1">
        <v>300</v>
      </c>
      <c r="D100" s="1" t="s">
        <v>350</v>
      </c>
      <c r="E100" s="1">
        <v>12</v>
      </c>
      <c r="F100" s="3">
        <v>1500</v>
      </c>
      <c r="G100" s="1">
        <v>0</v>
      </c>
      <c r="H100" s="1" t="s">
        <v>351</v>
      </c>
      <c r="I100" s="1" t="s">
        <v>352</v>
      </c>
      <c r="J100" s="1" t="s">
        <v>353</v>
      </c>
      <c r="K100" s="1" t="s">
        <v>304</v>
      </c>
      <c r="L100" s="1" t="s">
        <v>35</v>
      </c>
      <c r="M100">
        <f t="shared" si="7"/>
        <v>300</v>
      </c>
      <c r="N100" t="str">
        <f t="shared" si="8"/>
        <v>1990-08-20</v>
      </c>
      <c r="O100">
        <f t="shared" si="9"/>
        <v>21</v>
      </c>
      <c r="P100" t="str">
        <f t="shared" si="10"/>
        <v>mężczyzna</v>
      </c>
      <c r="Q100">
        <f t="shared" si="11"/>
        <v>6</v>
      </c>
      <c r="R100">
        <f t="shared" si="12"/>
        <v>2</v>
      </c>
      <c r="S100">
        <f t="shared" ca="1" si="13"/>
        <v>0</v>
      </c>
    </row>
    <row r="101" spans="1:19">
      <c r="A101" s="1" t="s">
        <v>12</v>
      </c>
      <c r="B101" s="2">
        <v>200</v>
      </c>
      <c r="C101" s="1">
        <v>200</v>
      </c>
      <c r="D101" s="1" t="s">
        <v>354</v>
      </c>
      <c r="E101" s="1">
        <v>13</v>
      </c>
      <c r="F101" s="3">
        <v>1216</v>
      </c>
      <c r="G101" s="1">
        <v>5</v>
      </c>
      <c r="H101" s="1" t="s">
        <v>355</v>
      </c>
      <c r="I101" s="1" t="s">
        <v>356</v>
      </c>
      <c r="J101" s="1" t="s">
        <v>16</v>
      </c>
      <c r="K101" s="1" t="s">
        <v>304</v>
      </c>
      <c r="L101" s="1" t="s">
        <v>357</v>
      </c>
      <c r="M101">
        <f t="shared" si="7"/>
        <v>200</v>
      </c>
      <c r="N101" t="str">
        <f t="shared" si="8"/>
        <v>1945-12-21</v>
      </c>
      <c r="O101">
        <f t="shared" si="9"/>
        <v>66</v>
      </c>
      <c r="P101" t="str">
        <f t="shared" si="10"/>
        <v>kobieta</v>
      </c>
      <c r="Q101">
        <f t="shared" si="11"/>
        <v>141</v>
      </c>
      <c r="R101">
        <f t="shared" si="12"/>
        <v>48</v>
      </c>
      <c r="S101">
        <f t="shared" ca="1" si="13"/>
        <v>75</v>
      </c>
    </row>
    <row r="102" spans="1:19">
      <c r="A102" s="1" t="s">
        <v>12</v>
      </c>
      <c r="B102" s="2">
        <v>400</v>
      </c>
      <c r="C102" s="1">
        <v>300</v>
      </c>
      <c r="D102" s="1" t="s">
        <v>358</v>
      </c>
      <c r="E102" s="1">
        <v>98</v>
      </c>
      <c r="F102" s="3">
        <v>1357</v>
      </c>
      <c r="G102" s="1">
        <v>0</v>
      </c>
      <c r="H102" s="1" t="s">
        <v>359</v>
      </c>
      <c r="I102" s="1" t="s">
        <v>360</v>
      </c>
      <c r="J102" s="1" t="s">
        <v>16</v>
      </c>
      <c r="K102" s="1" t="s">
        <v>304</v>
      </c>
      <c r="L102" s="1" t="s">
        <v>51</v>
      </c>
      <c r="M102">
        <f t="shared" si="7"/>
        <v>300</v>
      </c>
      <c r="N102" t="str">
        <f t="shared" si="8"/>
        <v>1963-10-11</v>
      </c>
      <c r="O102">
        <f t="shared" si="9"/>
        <v>48</v>
      </c>
      <c r="P102" t="str">
        <f t="shared" si="10"/>
        <v>kobieta</v>
      </c>
      <c r="Q102">
        <f t="shared" si="11"/>
        <v>1</v>
      </c>
      <c r="R102">
        <f t="shared" si="12"/>
        <v>48</v>
      </c>
      <c r="S102">
        <f t="shared" ca="1" si="13"/>
        <v>0</v>
      </c>
    </row>
    <row r="103" spans="1:19">
      <c r="A103" s="1" t="s">
        <v>19</v>
      </c>
      <c r="B103" s="2">
        <v>300</v>
      </c>
      <c r="C103" s="1">
        <v>300</v>
      </c>
      <c r="D103" s="1" t="s">
        <v>361</v>
      </c>
      <c r="E103" s="1">
        <v>12</v>
      </c>
      <c r="F103" s="3">
        <v>1000</v>
      </c>
      <c r="G103" s="1">
        <v>2</v>
      </c>
      <c r="H103" s="1" t="s">
        <v>362</v>
      </c>
      <c r="I103" s="1" t="s">
        <v>363</v>
      </c>
      <c r="J103" s="1" t="s">
        <v>364</v>
      </c>
      <c r="K103" s="1" t="s">
        <v>365</v>
      </c>
      <c r="L103" s="1" t="s">
        <v>70</v>
      </c>
      <c r="M103">
        <f t="shared" si="7"/>
        <v>300</v>
      </c>
      <c r="N103" t="str">
        <f t="shared" si="8"/>
        <v>1961-12-09</v>
      </c>
      <c r="O103">
        <f t="shared" si="9"/>
        <v>50</v>
      </c>
      <c r="P103" t="str">
        <f t="shared" si="10"/>
        <v>mężczyzna</v>
      </c>
      <c r="Q103">
        <f t="shared" si="11"/>
        <v>43</v>
      </c>
      <c r="R103">
        <f t="shared" si="12"/>
        <v>19</v>
      </c>
      <c r="S103">
        <f t="shared" ca="1" si="13"/>
        <v>0</v>
      </c>
    </row>
    <row r="104" spans="1:19">
      <c r="A104" s="1" t="s">
        <v>19</v>
      </c>
      <c r="B104" s="2">
        <v>300</v>
      </c>
      <c r="C104" s="1">
        <v>300</v>
      </c>
      <c r="D104" s="1" t="s">
        <v>366</v>
      </c>
      <c r="E104" s="1">
        <v>13</v>
      </c>
      <c r="F104" s="3">
        <v>1239.98</v>
      </c>
      <c r="G104" s="1">
        <v>2</v>
      </c>
      <c r="H104" s="1" t="s">
        <v>367</v>
      </c>
      <c r="I104" s="1" t="s">
        <v>368</v>
      </c>
      <c r="J104" s="1" t="s">
        <v>16</v>
      </c>
      <c r="K104" s="1" t="s">
        <v>365</v>
      </c>
      <c r="L104" s="1" t="s">
        <v>118</v>
      </c>
      <c r="M104">
        <f t="shared" si="7"/>
        <v>300</v>
      </c>
      <c r="N104" t="str">
        <f t="shared" si="8"/>
        <v>1933-03-29</v>
      </c>
      <c r="O104">
        <f t="shared" si="9"/>
        <v>78</v>
      </c>
      <c r="P104" t="str">
        <f t="shared" si="10"/>
        <v>kobieta</v>
      </c>
      <c r="Q104">
        <f t="shared" si="11"/>
        <v>255</v>
      </c>
      <c r="R104">
        <f t="shared" si="12"/>
        <v>48</v>
      </c>
      <c r="S104">
        <f t="shared" ca="1" si="13"/>
        <v>0</v>
      </c>
    </row>
    <row r="105" spans="1:19">
      <c r="A105" s="1" t="s">
        <v>19</v>
      </c>
      <c r="B105" s="2">
        <v>345.97</v>
      </c>
      <c r="C105" s="1">
        <v>345.97</v>
      </c>
      <c r="D105" s="1" t="s">
        <v>369</v>
      </c>
      <c r="E105" s="1">
        <v>11</v>
      </c>
      <c r="F105" s="3">
        <v>1721.7</v>
      </c>
      <c r="G105" s="1">
        <v>5</v>
      </c>
      <c r="H105" s="1" t="s">
        <v>370</v>
      </c>
      <c r="I105" s="1" t="s">
        <v>371</v>
      </c>
      <c r="J105" s="1" t="s">
        <v>16</v>
      </c>
      <c r="K105" s="1" t="s">
        <v>365</v>
      </c>
      <c r="L105" s="1" t="s">
        <v>231</v>
      </c>
      <c r="M105">
        <f t="shared" si="7"/>
        <v>345.97</v>
      </c>
      <c r="N105" t="str">
        <f t="shared" si="8"/>
        <v>1957-03-19</v>
      </c>
      <c r="O105">
        <f t="shared" si="9"/>
        <v>54</v>
      </c>
      <c r="P105" t="str">
        <f t="shared" si="10"/>
        <v>kobieta</v>
      </c>
      <c r="Q105">
        <f t="shared" si="11"/>
        <v>120</v>
      </c>
      <c r="R105">
        <f t="shared" si="12"/>
        <v>48</v>
      </c>
      <c r="S105">
        <f t="shared" ca="1" si="13"/>
        <v>0</v>
      </c>
    </row>
    <row r="106" spans="1:19">
      <c r="A106" s="1" t="s">
        <v>19</v>
      </c>
      <c r="B106" s="2">
        <v>1000</v>
      </c>
      <c r="C106" s="1">
        <v>500</v>
      </c>
      <c r="D106" s="1" t="s">
        <v>372</v>
      </c>
      <c r="E106" s="1">
        <v>11</v>
      </c>
      <c r="F106" s="3">
        <v>3898</v>
      </c>
      <c r="G106" s="1">
        <v>0</v>
      </c>
      <c r="H106" s="1" t="s">
        <v>373</v>
      </c>
      <c r="I106" s="1" t="s">
        <v>374</v>
      </c>
      <c r="J106" s="1" t="s">
        <v>16</v>
      </c>
      <c r="K106" s="1" t="s">
        <v>365</v>
      </c>
      <c r="L106" s="1" t="s">
        <v>308</v>
      </c>
      <c r="M106">
        <f t="shared" si="7"/>
        <v>500</v>
      </c>
      <c r="N106" t="str">
        <f t="shared" si="8"/>
        <v>1975-03-16</v>
      </c>
      <c r="O106">
        <f t="shared" si="9"/>
        <v>36</v>
      </c>
      <c r="P106" t="str">
        <f t="shared" si="10"/>
        <v>mężczyzna</v>
      </c>
      <c r="Q106">
        <f t="shared" si="11"/>
        <v>181</v>
      </c>
      <c r="R106">
        <f t="shared" si="12"/>
        <v>48</v>
      </c>
      <c r="S106">
        <f t="shared" ca="1" si="13"/>
        <v>3</v>
      </c>
    </row>
    <row r="107" spans="1:19">
      <c r="A107" s="1" t="s">
        <v>24</v>
      </c>
      <c r="B107" s="2">
        <v>800</v>
      </c>
      <c r="C107" s="1">
        <v>0</v>
      </c>
      <c r="D107" s="1" t="s">
        <v>375</v>
      </c>
      <c r="E107" s="1">
        <v>11</v>
      </c>
      <c r="F107" s="3">
        <v>1881</v>
      </c>
      <c r="G107" s="1">
        <v>0</v>
      </c>
      <c r="H107" s="1" t="s">
        <v>376</v>
      </c>
      <c r="I107" s="1" t="s">
        <v>377</v>
      </c>
      <c r="J107" s="1" t="s">
        <v>16</v>
      </c>
      <c r="K107" s="1" t="s">
        <v>16</v>
      </c>
      <c r="L107" s="1" t="s">
        <v>28</v>
      </c>
      <c r="M107">
        <f t="shared" si="7"/>
        <v>800</v>
      </c>
      <c r="N107" t="str">
        <f t="shared" si="8"/>
        <v>1987-02-03</v>
      </c>
      <c r="O107">
        <f t="shared" si="9"/>
        <v>24</v>
      </c>
      <c r="P107" t="str">
        <f t="shared" si="10"/>
        <v>mężczyzna</v>
      </c>
      <c r="Q107">
        <f t="shared" si="11"/>
        <v>36</v>
      </c>
      <c r="R107">
        <f t="shared" si="12"/>
        <v>48</v>
      </c>
      <c r="S107">
        <f t="shared" ca="1" si="13"/>
        <v>0</v>
      </c>
    </row>
    <row r="108" spans="1:19">
      <c r="A108" s="1" t="s">
        <v>19</v>
      </c>
      <c r="B108" s="2">
        <v>500</v>
      </c>
      <c r="C108" s="1">
        <v>500</v>
      </c>
      <c r="D108" s="1" t="s">
        <v>378</v>
      </c>
      <c r="E108" s="1">
        <v>13</v>
      </c>
      <c r="F108" s="3">
        <v>1691.3</v>
      </c>
      <c r="G108" s="1">
        <v>1</v>
      </c>
      <c r="H108" s="1" t="s">
        <v>379</v>
      </c>
      <c r="I108" s="1" t="s">
        <v>281</v>
      </c>
      <c r="J108" s="1" t="s">
        <v>16</v>
      </c>
      <c r="K108" s="1" t="s">
        <v>365</v>
      </c>
      <c r="L108" s="1" t="s">
        <v>380</v>
      </c>
      <c r="M108">
        <f t="shared" si="7"/>
        <v>500</v>
      </c>
      <c r="N108" t="str">
        <f t="shared" si="8"/>
        <v>1949-07-18</v>
      </c>
      <c r="O108">
        <f t="shared" si="9"/>
        <v>62</v>
      </c>
      <c r="P108" t="str">
        <f t="shared" si="10"/>
        <v>kobieta</v>
      </c>
      <c r="Q108">
        <f t="shared" si="11"/>
        <v>73</v>
      </c>
      <c r="R108">
        <f t="shared" si="12"/>
        <v>48</v>
      </c>
      <c r="S108">
        <f t="shared" ca="1" si="13"/>
        <v>13</v>
      </c>
    </row>
    <row r="109" spans="1:19">
      <c r="A109" s="1" t="s">
        <v>24</v>
      </c>
      <c r="B109" s="2">
        <v>200</v>
      </c>
      <c r="C109" s="1">
        <v>0</v>
      </c>
      <c r="D109" s="1" t="s">
        <v>381</v>
      </c>
      <c r="E109" s="1">
        <v>16</v>
      </c>
      <c r="F109" s="3">
        <v>1825.35</v>
      </c>
      <c r="G109" s="1">
        <v>0</v>
      </c>
      <c r="H109" s="1" t="s">
        <v>382</v>
      </c>
      <c r="I109" s="1" t="s">
        <v>383</v>
      </c>
      <c r="J109" s="1" t="s">
        <v>16</v>
      </c>
      <c r="K109" s="1" t="s">
        <v>16</v>
      </c>
      <c r="L109" s="1" t="s">
        <v>28</v>
      </c>
      <c r="M109">
        <f t="shared" si="7"/>
        <v>200</v>
      </c>
      <c r="N109" t="str">
        <f t="shared" si="8"/>
        <v>1954-03-16</v>
      </c>
      <c r="O109">
        <f t="shared" si="9"/>
        <v>57</v>
      </c>
      <c r="P109" t="str">
        <f t="shared" si="10"/>
        <v>kobieta</v>
      </c>
      <c r="Q109">
        <f t="shared" si="11"/>
        <v>105</v>
      </c>
      <c r="R109">
        <f t="shared" si="12"/>
        <v>48</v>
      </c>
      <c r="S109">
        <f t="shared" ca="1" si="13"/>
        <v>0</v>
      </c>
    </row>
    <row r="110" spans="1:19">
      <c r="A110" s="1" t="s">
        <v>19</v>
      </c>
      <c r="B110" s="2">
        <v>400</v>
      </c>
      <c r="C110" s="1">
        <v>400</v>
      </c>
      <c r="D110" s="1" t="s">
        <v>384</v>
      </c>
      <c r="E110" s="1">
        <v>13</v>
      </c>
      <c r="F110" s="3">
        <v>3900</v>
      </c>
      <c r="G110" s="1">
        <v>0</v>
      </c>
      <c r="H110" s="1" t="s">
        <v>385</v>
      </c>
      <c r="I110" s="1" t="s">
        <v>386</v>
      </c>
      <c r="J110" s="1" t="s">
        <v>16</v>
      </c>
      <c r="K110" s="1" t="s">
        <v>365</v>
      </c>
      <c r="L110" s="1" t="s">
        <v>197</v>
      </c>
      <c r="M110">
        <f t="shared" si="7"/>
        <v>400</v>
      </c>
      <c r="N110" t="str">
        <f t="shared" si="8"/>
        <v>1952-08-15</v>
      </c>
      <c r="O110">
        <f t="shared" si="9"/>
        <v>59</v>
      </c>
      <c r="P110" t="str">
        <f t="shared" si="10"/>
        <v>mężczyzna</v>
      </c>
      <c r="Q110">
        <f t="shared" si="11"/>
        <v>114</v>
      </c>
      <c r="R110">
        <f t="shared" si="12"/>
        <v>48</v>
      </c>
      <c r="S110">
        <f t="shared" ca="1" si="13"/>
        <v>2</v>
      </c>
    </row>
    <row r="111" spans="1:19">
      <c r="A111" s="1" t="s">
        <v>19</v>
      </c>
      <c r="B111" s="2">
        <v>300</v>
      </c>
      <c r="C111" s="1">
        <v>300</v>
      </c>
      <c r="D111" s="1" t="s">
        <v>387</v>
      </c>
      <c r="E111" s="1">
        <v>11</v>
      </c>
      <c r="F111" s="3">
        <v>1459</v>
      </c>
      <c r="G111" s="1">
        <v>2</v>
      </c>
      <c r="H111" s="1" t="s">
        <v>388</v>
      </c>
      <c r="I111" s="1" t="s">
        <v>389</v>
      </c>
      <c r="J111" s="1" t="s">
        <v>16</v>
      </c>
      <c r="K111" s="1" t="s">
        <v>365</v>
      </c>
      <c r="L111" s="1" t="s">
        <v>285</v>
      </c>
      <c r="M111">
        <f t="shared" si="7"/>
        <v>300</v>
      </c>
      <c r="N111" t="str">
        <f t="shared" si="8"/>
        <v>1985-04-24</v>
      </c>
      <c r="O111">
        <f t="shared" si="9"/>
        <v>26</v>
      </c>
      <c r="P111" t="str">
        <f t="shared" si="10"/>
        <v>mężczyzna</v>
      </c>
      <c r="Q111">
        <f t="shared" si="11"/>
        <v>9</v>
      </c>
      <c r="R111">
        <f t="shared" si="12"/>
        <v>48</v>
      </c>
      <c r="S111">
        <f t="shared" ca="1" si="13"/>
        <v>7</v>
      </c>
    </row>
    <row r="112" spans="1:19">
      <c r="A112" s="1" t="s">
        <v>12</v>
      </c>
      <c r="B112" s="2">
        <v>200</v>
      </c>
      <c r="C112" s="1">
        <v>200</v>
      </c>
      <c r="D112" s="1" t="s">
        <v>390</v>
      </c>
      <c r="E112" s="1">
        <v>11</v>
      </c>
      <c r="F112" s="3">
        <v>1566.82</v>
      </c>
      <c r="G112" s="1">
        <v>1</v>
      </c>
      <c r="H112" s="1" t="s">
        <v>391</v>
      </c>
      <c r="I112" s="1" t="s">
        <v>392</v>
      </c>
      <c r="J112" s="1" t="s">
        <v>16</v>
      </c>
      <c r="K112" s="1" t="s">
        <v>365</v>
      </c>
      <c r="L112" s="1" t="s">
        <v>43</v>
      </c>
      <c r="M112">
        <f t="shared" si="7"/>
        <v>200</v>
      </c>
      <c r="N112" t="str">
        <f t="shared" si="8"/>
        <v>1965-06-08</v>
      </c>
      <c r="O112">
        <f t="shared" si="9"/>
        <v>46</v>
      </c>
      <c r="P112" t="str">
        <f t="shared" si="10"/>
        <v>mężczyzna</v>
      </c>
      <c r="Q112">
        <f t="shared" si="11"/>
        <v>349</v>
      </c>
      <c r="R112">
        <f t="shared" si="12"/>
        <v>48</v>
      </c>
      <c r="S112">
        <f t="shared" ca="1" si="13"/>
        <v>0</v>
      </c>
    </row>
    <row r="113" spans="1:19">
      <c r="A113" s="1" t="s">
        <v>24</v>
      </c>
      <c r="B113" s="2">
        <v>300</v>
      </c>
      <c r="C113" s="1">
        <v>0</v>
      </c>
      <c r="D113" s="1" t="s">
        <v>393</v>
      </c>
      <c r="E113" s="1">
        <v>12</v>
      </c>
      <c r="F113" s="3">
        <v>476</v>
      </c>
      <c r="G113" s="1">
        <v>0</v>
      </c>
      <c r="H113" s="1" t="s">
        <v>394</v>
      </c>
      <c r="I113" s="1" t="s">
        <v>395</v>
      </c>
      <c r="J113" s="1" t="s">
        <v>396</v>
      </c>
      <c r="K113" s="1" t="s">
        <v>16</v>
      </c>
      <c r="L113" s="1" t="s">
        <v>28</v>
      </c>
      <c r="M113">
        <f t="shared" si="7"/>
        <v>300</v>
      </c>
      <c r="N113" t="str">
        <f t="shared" si="8"/>
        <v>1972-08-29</v>
      </c>
      <c r="O113">
        <f t="shared" si="9"/>
        <v>39</v>
      </c>
      <c r="P113" t="str">
        <f t="shared" si="10"/>
        <v>kobieta</v>
      </c>
      <c r="Q113">
        <f t="shared" si="11"/>
        <v>12</v>
      </c>
      <c r="R113">
        <f t="shared" si="12"/>
        <v>2</v>
      </c>
      <c r="S113">
        <f t="shared" ca="1" si="13"/>
        <v>0</v>
      </c>
    </row>
    <row r="114" spans="1:19">
      <c r="A114" s="1" t="s">
        <v>19</v>
      </c>
      <c r="B114" s="2">
        <v>314.83</v>
      </c>
      <c r="C114" s="1">
        <v>314.83</v>
      </c>
      <c r="D114" s="1" t="s">
        <v>397</v>
      </c>
      <c r="E114" s="1">
        <v>11</v>
      </c>
      <c r="F114" s="3">
        <v>2709.34</v>
      </c>
      <c r="G114" s="1">
        <v>5</v>
      </c>
      <c r="H114" s="1" t="s">
        <v>398</v>
      </c>
      <c r="I114" s="1" t="s">
        <v>399</v>
      </c>
      <c r="J114" s="1" t="s">
        <v>16</v>
      </c>
      <c r="K114" s="1" t="s">
        <v>365</v>
      </c>
      <c r="L114" s="1" t="s">
        <v>308</v>
      </c>
      <c r="M114">
        <f t="shared" si="7"/>
        <v>314.83</v>
      </c>
      <c r="N114" t="str">
        <f t="shared" si="8"/>
        <v>1976-06-18</v>
      </c>
      <c r="O114">
        <f t="shared" si="9"/>
        <v>35</v>
      </c>
      <c r="P114" t="str">
        <f t="shared" si="10"/>
        <v>kobieta</v>
      </c>
      <c r="Q114">
        <f t="shared" si="11"/>
        <v>181</v>
      </c>
      <c r="R114">
        <f t="shared" si="12"/>
        <v>48</v>
      </c>
      <c r="S114">
        <f t="shared" ca="1" si="13"/>
        <v>3</v>
      </c>
    </row>
    <row r="115" spans="1:19">
      <c r="A115" s="1" t="s">
        <v>19</v>
      </c>
      <c r="B115" s="2">
        <v>400</v>
      </c>
      <c r="C115" s="1">
        <v>400</v>
      </c>
      <c r="D115" s="1" t="s">
        <v>400</v>
      </c>
      <c r="E115" s="1">
        <v>11</v>
      </c>
      <c r="F115" s="3">
        <v>1800</v>
      </c>
      <c r="G115" s="1">
        <v>1</v>
      </c>
      <c r="H115" s="1" t="s">
        <v>401</v>
      </c>
      <c r="I115" s="1" t="s">
        <v>402</v>
      </c>
      <c r="J115" s="1" t="s">
        <v>16</v>
      </c>
      <c r="K115" s="1" t="s">
        <v>365</v>
      </c>
      <c r="L115" s="1" t="s">
        <v>118</v>
      </c>
      <c r="M115">
        <f t="shared" si="7"/>
        <v>400</v>
      </c>
      <c r="N115" t="str">
        <f t="shared" si="8"/>
        <v>1960-11-18</v>
      </c>
      <c r="O115">
        <f t="shared" si="9"/>
        <v>51</v>
      </c>
      <c r="P115" t="str">
        <f t="shared" si="10"/>
        <v>mężczyzna</v>
      </c>
      <c r="Q115">
        <f t="shared" si="11"/>
        <v>259</v>
      </c>
      <c r="R115">
        <f t="shared" si="12"/>
        <v>48</v>
      </c>
      <c r="S115">
        <f t="shared" ca="1" si="13"/>
        <v>0</v>
      </c>
    </row>
    <row r="116" spans="1:19">
      <c r="A116" s="1" t="s">
        <v>56</v>
      </c>
      <c r="B116" s="2">
        <v>298.74</v>
      </c>
      <c r="C116" s="1">
        <v>298.74</v>
      </c>
      <c r="D116" s="1" t="s">
        <v>403</v>
      </c>
      <c r="E116" s="1">
        <v>13</v>
      </c>
      <c r="F116" s="3">
        <v>1688.82</v>
      </c>
      <c r="G116" s="1">
        <v>3</v>
      </c>
      <c r="H116" s="1" t="s">
        <v>404</v>
      </c>
      <c r="I116" s="1" t="s">
        <v>405</v>
      </c>
      <c r="J116" s="1" t="s">
        <v>16</v>
      </c>
      <c r="K116" s="1" t="s">
        <v>406</v>
      </c>
      <c r="L116" s="1" t="s">
        <v>28</v>
      </c>
      <c r="M116">
        <f t="shared" si="7"/>
        <v>298.74</v>
      </c>
      <c r="N116" t="str">
        <f t="shared" si="8"/>
        <v>1965-04-28</v>
      </c>
      <c r="O116">
        <f t="shared" si="9"/>
        <v>46</v>
      </c>
      <c r="P116" t="str">
        <f t="shared" si="10"/>
        <v>mężczyzna</v>
      </c>
      <c r="Q116">
        <f t="shared" si="11"/>
        <v>99</v>
      </c>
      <c r="R116">
        <f t="shared" si="12"/>
        <v>48</v>
      </c>
      <c r="S116">
        <f t="shared" ca="1" si="13"/>
        <v>5265</v>
      </c>
    </row>
    <row r="117" spans="1:19">
      <c r="A117" s="1" t="s">
        <v>19</v>
      </c>
      <c r="B117" s="2">
        <v>200</v>
      </c>
      <c r="C117" s="1">
        <v>200</v>
      </c>
      <c r="D117" s="1" t="s">
        <v>407</v>
      </c>
      <c r="E117" s="1">
        <v>13</v>
      </c>
      <c r="F117" s="3">
        <v>785</v>
      </c>
      <c r="G117" s="1">
        <v>1</v>
      </c>
      <c r="H117" s="1" t="s">
        <v>408</v>
      </c>
      <c r="I117" s="1" t="s">
        <v>266</v>
      </c>
      <c r="J117" s="1" t="s">
        <v>16</v>
      </c>
      <c r="K117" s="1" t="s">
        <v>406</v>
      </c>
      <c r="L117" s="1" t="s">
        <v>197</v>
      </c>
      <c r="M117">
        <f t="shared" si="7"/>
        <v>200</v>
      </c>
      <c r="N117" t="str">
        <f t="shared" si="8"/>
        <v>1939-11-08</v>
      </c>
      <c r="O117">
        <f t="shared" si="9"/>
        <v>72</v>
      </c>
      <c r="P117" t="str">
        <f t="shared" si="10"/>
        <v>kobieta</v>
      </c>
      <c r="Q117">
        <f t="shared" si="11"/>
        <v>64</v>
      </c>
      <c r="R117">
        <f t="shared" si="12"/>
        <v>48</v>
      </c>
      <c r="S117">
        <f t="shared" ca="1" si="13"/>
        <v>0</v>
      </c>
    </row>
    <row r="118" spans="1:19">
      <c r="A118" s="1" t="s">
        <v>19</v>
      </c>
      <c r="B118" s="2">
        <v>600</v>
      </c>
      <c r="C118" s="1">
        <v>600</v>
      </c>
      <c r="D118" s="1" t="s">
        <v>409</v>
      </c>
      <c r="E118" s="1">
        <v>13</v>
      </c>
      <c r="F118" s="3">
        <v>1050</v>
      </c>
      <c r="G118" s="1">
        <v>5</v>
      </c>
      <c r="H118" s="1" t="s">
        <v>410</v>
      </c>
      <c r="I118" s="1" t="s">
        <v>411</v>
      </c>
      <c r="J118" s="1" t="s">
        <v>16</v>
      </c>
      <c r="K118" s="1" t="s">
        <v>406</v>
      </c>
      <c r="L118" s="1" t="s">
        <v>130</v>
      </c>
      <c r="M118">
        <f t="shared" si="7"/>
        <v>600</v>
      </c>
      <c r="N118" t="str">
        <f t="shared" si="8"/>
        <v>1950-08-20</v>
      </c>
      <c r="O118">
        <f t="shared" si="9"/>
        <v>61</v>
      </c>
      <c r="P118" t="str">
        <f t="shared" si="10"/>
        <v>kobieta</v>
      </c>
      <c r="Q118">
        <f t="shared" si="11"/>
        <v>139</v>
      </c>
      <c r="R118">
        <f t="shared" si="12"/>
        <v>48</v>
      </c>
      <c r="S118">
        <f t="shared" ca="1" si="13"/>
        <v>0</v>
      </c>
    </row>
    <row r="119" spans="1:19">
      <c r="A119" s="1" t="s">
        <v>19</v>
      </c>
      <c r="B119" s="2">
        <v>600</v>
      </c>
      <c r="C119" s="1">
        <v>500</v>
      </c>
      <c r="D119" s="1" t="s">
        <v>159</v>
      </c>
      <c r="E119" s="1">
        <v>12</v>
      </c>
      <c r="F119" s="3">
        <v>1952.35</v>
      </c>
      <c r="G119" s="1">
        <v>0</v>
      </c>
      <c r="H119" s="1" t="s">
        <v>412</v>
      </c>
      <c r="I119" s="1" t="s">
        <v>161</v>
      </c>
      <c r="J119" s="1" t="s">
        <v>162</v>
      </c>
      <c r="K119" s="1" t="s">
        <v>406</v>
      </c>
      <c r="L119" s="1" t="s">
        <v>308</v>
      </c>
      <c r="M119">
        <f t="shared" si="7"/>
        <v>500</v>
      </c>
      <c r="N119" t="str">
        <f t="shared" si="8"/>
        <v>1967-10-17</v>
      </c>
      <c r="O119">
        <f t="shared" si="9"/>
        <v>44</v>
      </c>
      <c r="P119" t="str">
        <f t="shared" si="10"/>
        <v>mężczyzna</v>
      </c>
      <c r="Q119">
        <f t="shared" si="11"/>
        <v>4</v>
      </c>
      <c r="R119">
        <f t="shared" si="12"/>
        <v>7</v>
      </c>
      <c r="S119">
        <f t="shared" ca="1" si="13"/>
        <v>1</v>
      </c>
    </row>
    <row r="120" spans="1:19">
      <c r="A120" s="1" t="s">
        <v>19</v>
      </c>
      <c r="B120" s="2">
        <v>400</v>
      </c>
      <c r="C120" s="1">
        <v>400</v>
      </c>
      <c r="D120" s="1" t="s">
        <v>413</v>
      </c>
      <c r="E120" s="1">
        <v>11</v>
      </c>
      <c r="F120" s="3">
        <v>980</v>
      </c>
      <c r="G120" s="1">
        <v>0</v>
      </c>
      <c r="H120" s="1" t="s">
        <v>414</v>
      </c>
      <c r="I120" s="1" t="s">
        <v>415</v>
      </c>
      <c r="J120" s="1" t="s">
        <v>16</v>
      </c>
      <c r="K120" s="1" t="s">
        <v>406</v>
      </c>
      <c r="L120" s="1" t="s">
        <v>231</v>
      </c>
      <c r="M120">
        <f t="shared" si="7"/>
        <v>400</v>
      </c>
      <c r="N120" t="str">
        <f t="shared" si="8"/>
        <v>1963-05-22</v>
      </c>
      <c r="O120">
        <f t="shared" si="9"/>
        <v>48</v>
      </c>
      <c r="P120" t="str">
        <f t="shared" si="10"/>
        <v>kobieta</v>
      </c>
      <c r="Q120">
        <f t="shared" si="11"/>
        <v>200</v>
      </c>
      <c r="R120">
        <f t="shared" si="12"/>
        <v>48</v>
      </c>
      <c r="S120">
        <f t="shared" ca="1" si="13"/>
        <v>0</v>
      </c>
    </row>
    <row r="121" spans="1:19">
      <c r="A121" s="1" t="s">
        <v>309</v>
      </c>
      <c r="B121" s="2">
        <v>370</v>
      </c>
      <c r="C121" s="1">
        <v>370</v>
      </c>
      <c r="D121" s="1" t="s">
        <v>416</v>
      </c>
      <c r="E121" s="1">
        <v>11</v>
      </c>
      <c r="F121" s="3">
        <v>1087</v>
      </c>
      <c r="G121" s="1">
        <v>0</v>
      </c>
      <c r="H121" s="1" t="s">
        <v>417</v>
      </c>
      <c r="I121" s="1" t="s">
        <v>418</v>
      </c>
      <c r="J121" s="1" t="s">
        <v>16</v>
      </c>
      <c r="K121" s="1" t="s">
        <v>406</v>
      </c>
      <c r="L121" s="1" t="s">
        <v>419</v>
      </c>
      <c r="M121">
        <f t="shared" si="7"/>
        <v>370</v>
      </c>
      <c r="N121" t="str">
        <f t="shared" si="8"/>
        <v>1971-02-09</v>
      </c>
      <c r="O121">
        <f t="shared" si="9"/>
        <v>40</v>
      </c>
      <c r="P121" t="str">
        <f t="shared" si="10"/>
        <v>kobieta</v>
      </c>
      <c r="Q121">
        <f t="shared" si="11"/>
        <v>238</v>
      </c>
      <c r="R121">
        <f t="shared" si="12"/>
        <v>48</v>
      </c>
      <c r="S121">
        <f t="shared" ca="1" si="13"/>
        <v>234</v>
      </c>
    </row>
    <row r="122" spans="1:19">
      <c r="A122" s="1" t="s">
        <v>12</v>
      </c>
      <c r="B122" s="2">
        <v>200</v>
      </c>
      <c r="C122" s="1">
        <v>200</v>
      </c>
      <c r="D122" s="1" t="s">
        <v>420</v>
      </c>
      <c r="E122" s="1">
        <v>13</v>
      </c>
      <c r="F122" s="3">
        <v>714</v>
      </c>
      <c r="G122" s="1">
        <v>0</v>
      </c>
      <c r="H122" s="1" t="s">
        <v>421</v>
      </c>
      <c r="I122" s="1" t="s">
        <v>422</v>
      </c>
      <c r="J122" s="1" t="s">
        <v>16</v>
      </c>
      <c r="K122" s="1" t="s">
        <v>406</v>
      </c>
      <c r="L122" s="1" t="s">
        <v>197</v>
      </c>
      <c r="M122">
        <f t="shared" si="7"/>
        <v>200</v>
      </c>
      <c r="N122" t="str">
        <f t="shared" si="8"/>
        <v>1949-07-16</v>
      </c>
      <c r="O122">
        <f t="shared" si="9"/>
        <v>62</v>
      </c>
      <c r="P122" t="str">
        <f t="shared" si="10"/>
        <v>kobieta</v>
      </c>
      <c r="Q122">
        <f t="shared" si="11"/>
        <v>222</v>
      </c>
      <c r="R122">
        <f t="shared" si="12"/>
        <v>48</v>
      </c>
      <c r="S122">
        <f t="shared" ca="1" si="13"/>
        <v>0</v>
      </c>
    </row>
    <row r="123" spans="1:19">
      <c r="A123" s="1" t="s">
        <v>56</v>
      </c>
      <c r="B123" s="2">
        <v>800</v>
      </c>
      <c r="C123" s="1">
        <v>500</v>
      </c>
      <c r="D123" s="1" t="s">
        <v>423</v>
      </c>
      <c r="E123" s="1">
        <v>11</v>
      </c>
      <c r="F123" s="3">
        <v>2261</v>
      </c>
      <c r="G123" s="1">
        <v>0</v>
      </c>
      <c r="H123" s="1" t="s">
        <v>424</v>
      </c>
      <c r="I123" s="1" t="s">
        <v>425</v>
      </c>
      <c r="J123" s="1" t="s">
        <v>16</v>
      </c>
      <c r="K123" s="1" t="s">
        <v>406</v>
      </c>
      <c r="L123" s="1" t="s">
        <v>28</v>
      </c>
      <c r="M123">
        <f t="shared" si="7"/>
        <v>500</v>
      </c>
      <c r="N123" t="str">
        <f t="shared" si="8"/>
        <v>1978-04-15</v>
      </c>
      <c r="O123">
        <f t="shared" si="9"/>
        <v>33</v>
      </c>
      <c r="P123" t="str">
        <f t="shared" si="10"/>
        <v>mężczyzna</v>
      </c>
      <c r="Q123">
        <f t="shared" si="11"/>
        <v>51</v>
      </c>
      <c r="R123">
        <f t="shared" si="12"/>
        <v>48</v>
      </c>
      <c r="S123">
        <f t="shared" ca="1" si="13"/>
        <v>5265</v>
      </c>
    </row>
    <row r="124" spans="1:19">
      <c r="A124" s="1" t="s">
        <v>56</v>
      </c>
      <c r="B124" s="2">
        <v>1000</v>
      </c>
      <c r="C124" s="1">
        <v>500</v>
      </c>
      <c r="D124" s="1" t="s">
        <v>426</v>
      </c>
      <c r="E124" s="1">
        <v>11</v>
      </c>
      <c r="F124" s="3">
        <v>1792</v>
      </c>
      <c r="G124" s="1">
        <v>0</v>
      </c>
      <c r="H124" s="1" t="s">
        <v>427</v>
      </c>
      <c r="I124" s="1" t="s">
        <v>428</v>
      </c>
      <c r="J124" s="1" t="s">
        <v>16</v>
      </c>
      <c r="K124" s="1" t="s">
        <v>406</v>
      </c>
      <c r="L124" s="1" t="s">
        <v>28</v>
      </c>
      <c r="M124">
        <f t="shared" si="7"/>
        <v>500</v>
      </c>
      <c r="N124" t="str">
        <f t="shared" si="8"/>
        <v>1976-04-11</v>
      </c>
      <c r="O124">
        <f t="shared" si="9"/>
        <v>35</v>
      </c>
      <c r="P124" t="str">
        <f t="shared" si="10"/>
        <v>kobieta</v>
      </c>
      <c r="Q124">
        <f t="shared" si="11"/>
        <v>62</v>
      </c>
      <c r="R124">
        <f t="shared" si="12"/>
        <v>48</v>
      </c>
      <c r="S124">
        <f t="shared" ca="1" si="13"/>
        <v>5265</v>
      </c>
    </row>
    <row r="125" spans="1:19">
      <c r="A125" s="1" t="s">
        <v>19</v>
      </c>
      <c r="B125" s="2">
        <v>400</v>
      </c>
      <c r="C125" s="1">
        <v>400</v>
      </c>
      <c r="D125" s="1" t="s">
        <v>429</v>
      </c>
      <c r="E125" s="1">
        <v>12</v>
      </c>
      <c r="F125" s="3">
        <v>1963.88</v>
      </c>
      <c r="G125" s="1">
        <v>4</v>
      </c>
      <c r="H125" s="1" t="s">
        <v>430</v>
      </c>
      <c r="I125" s="1" t="s">
        <v>431</v>
      </c>
      <c r="J125" s="1" t="s">
        <v>432</v>
      </c>
      <c r="K125" s="1" t="s">
        <v>406</v>
      </c>
      <c r="L125" s="1" t="s">
        <v>158</v>
      </c>
      <c r="M125">
        <f t="shared" si="7"/>
        <v>400</v>
      </c>
      <c r="N125" t="str">
        <f t="shared" si="8"/>
        <v>1967-05-18</v>
      </c>
      <c r="O125">
        <f t="shared" si="9"/>
        <v>44</v>
      </c>
      <c r="P125" t="str">
        <f t="shared" si="10"/>
        <v>mężczyzna</v>
      </c>
      <c r="Q125">
        <f t="shared" si="11"/>
        <v>6</v>
      </c>
      <c r="R125">
        <f t="shared" si="12"/>
        <v>0</v>
      </c>
      <c r="S125">
        <f t="shared" ca="1" si="13"/>
        <v>4</v>
      </c>
    </row>
    <row r="126" spans="1:19">
      <c r="A126" s="1" t="s">
        <v>19</v>
      </c>
      <c r="B126" s="2">
        <v>290</v>
      </c>
      <c r="C126" s="1">
        <v>290</v>
      </c>
      <c r="D126" s="1" t="s">
        <v>433</v>
      </c>
      <c r="E126" s="1">
        <v>13</v>
      </c>
      <c r="F126" s="3">
        <v>1280</v>
      </c>
      <c r="G126" s="1">
        <v>5</v>
      </c>
      <c r="H126" s="1" t="s">
        <v>434</v>
      </c>
      <c r="I126" s="1" t="s">
        <v>435</v>
      </c>
      <c r="J126" s="1" t="s">
        <v>16</v>
      </c>
      <c r="K126" s="1" t="s">
        <v>406</v>
      </c>
      <c r="L126" s="1" t="s">
        <v>197</v>
      </c>
      <c r="M126">
        <f t="shared" si="7"/>
        <v>290</v>
      </c>
      <c r="N126" t="str">
        <f t="shared" si="8"/>
        <v>1950-08-05</v>
      </c>
      <c r="O126">
        <f t="shared" si="9"/>
        <v>61</v>
      </c>
      <c r="P126" t="str">
        <f t="shared" si="10"/>
        <v>kobieta</v>
      </c>
      <c r="Q126">
        <f t="shared" si="11"/>
        <v>17</v>
      </c>
      <c r="R126">
        <f t="shared" si="12"/>
        <v>48</v>
      </c>
      <c r="S126">
        <f t="shared" ca="1" si="13"/>
        <v>0</v>
      </c>
    </row>
    <row r="127" spans="1:19">
      <c r="A127" s="1" t="s">
        <v>12</v>
      </c>
      <c r="B127" s="2">
        <v>250</v>
      </c>
      <c r="C127" s="1">
        <v>250</v>
      </c>
      <c r="D127" s="1" t="s">
        <v>436</v>
      </c>
      <c r="E127" s="1">
        <v>11</v>
      </c>
      <c r="F127" s="3">
        <v>800.51</v>
      </c>
      <c r="G127" s="1">
        <v>0</v>
      </c>
      <c r="H127" s="1" t="s">
        <v>437</v>
      </c>
      <c r="I127" s="1" t="s">
        <v>438</v>
      </c>
      <c r="J127" s="1" t="s">
        <v>16</v>
      </c>
      <c r="K127" s="1" t="s">
        <v>406</v>
      </c>
      <c r="L127" s="1" t="s">
        <v>308</v>
      </c>
      <c r="M127">
        <f t="shared" si="7"/>
        <v>250</v>
      </c>
      <c r="N127" t="str">
        <f t="shared" si="8"/>
        <v>1973-11-25</v>
      </c>
      <c r="O127">
        <f t="shared" si="9"/>
        <v>38</v>
      </c>
      <c r="P127" t="str">
        <f t="shared" si="10"/>
        <v>kobieta</v>
      </c>
      <c r="Q127">
        <f t="shared" si="11"/>
        <v>20</v>
      </c>
      <c r="R127">
        <f t="shared" si="12"/>
        <v>48</v>
      </c>
      <c r="S127">
        <f t="shared" ca="1" si="13"/>
        <v>1</v>
      </c>
    </row>
    <row r="128" spans="1:19">
      <c r="A128" s="1" t="s">
        <v>19</v>
      </c>
      <c r="B128" s="2">
        <v>300</v>
      </c>
      <c r="C128" s="1">
        <v>300</v>
      </c>
      <c r="D128" s="1" t="s">
        <v>439</v>
      </c>
      <c r="E128" s="1">
        <v>13</v>
      </c>
      <c r="F128" s="3">
        <v>1525.46</v>
      </c>
      <c r="G128" s="1">
        <v>0</v>
      </c>
      <c r="H128" s="1" t="s">
        <v>440</v>
      </c>
      <c r="I128" s="1" t="s">
        <v>441</v>
      </c>
      <c r="J128" s="1" t="s">
        <v>16</v>
      </c>
      <c r="K128" s="1" t="s">
        <v>406</v>
      </c>
      <c r="L128" s="1" t="s">
        <v>442</v>
      </c>
      <c r="M128">
        <f t="shared" si="7"/>
        <v>300</v>
      </c>
      <c r="N128" t="str">
        <f t="shared" si="8"/>
        <v>1949-06-22</v>
      </c>
      <c r="O128">
        <f t="shared" si="9"/>
        <v>62</v>
      </c>
      <c r="P128" t="str">
        <f t="shared" si="10"/>
        <v>kobieta</v>
      </c>
      <c r="Q128">
        <f t="shared" si="11"/>
        <v>36</v>
      </c>
      <c r="R128">
        <f t="shared" si="12"/>
        <v>48</v>
      </c>
      <c r="S128">
        <f t="shared" ca="1" si="13"/>
        <v>9</v>
      </c>
    </row>
    <row r="129" spans="1:19">
      <c r="A129" s="1" t="s">
        <v>24</v>
      </c>
      <c r="B129" s="2">
        <v>200</v>
      </c>
      <c r="C129" s="1">
        <v>0</v>
      </c>
      <c r="D129" s="1" t="s">
        <v>443</v>
      </c>
      <c r="E129" s="1">
        <v>13</v>
      </c>
      <c r="F129" s="3">
        <v>757.1</v>
      </c>
      <c r="G129" s="1">
        <v>0</v>
      </c>
      <c r="H129" s="1" t="s">
        <v>444</v>
      </c>
      <c r="I129" s="1" t="s">
        <v>445</v>
      </c>
      <c r="J129" s="1" t="s">
        <v>16</v>
      </c>
      <c r="K129" s="1" t="s">
        <v>16</v>
      </c>
      <c r="L129" s="1" t="s">
        <v>28</v>
      </c>
      <c r="M129">
        <f t="shared" si="7"/>
        <v>200</v>
      </c>
      <c r="N129" t="str">
        <f t="shared" si="8"/>
        <v>1944-12-01</v>
      </c>
      <c r="O129">
        <f t="shared" si="9"/>
        <v>67</v>
      </c>
      <c r="P129" t="str">
        <f t="shared" si="10"/>
        <v>kobieta</v>
      </c>
      <c r="Q129">
        <f t="shared" si="11"/>
        <v>198</v>
      </c>
      <c r="R129">
        <f t="shared" si="12"/>
        <v>48</v>
      </c>
      <c r="S129">
        <f t="shared" ca="1" si="13"/>
        <v>0</v>
      </c>
    </row>
    <row r="130" spans="1:19">
      <c r="A130" s="1" t="s">
        <v>19</v>
      </c>
      <c r="B130" s="2">
        <v>300</v>
      </c>
      <c r="C130" s="1">
        <v>300</v>
      </c>
      <c r="D130" s="1" t="s">
        <v>446</v>
      </c>
      <c r="E130" s="1">
        <v>11</v>
      </c>
      <c r="F130" s="3">
        <v>2100</v>
      </c>
      <c r="G130" s="1">
        <v>0</v>
      </c>
      <c r="H130" s="1" t="s">
        <v>447</v>
      </c>
      <c r="I130" s="1" t="s">
        <v>448</v>
      </c>
      <c r="J130" s="1" t="s">
        <v>16</v>
      </c>
      <c r="K130" s="1" t="s">
        <v>406</v>
      </c>
      <c r="L130" s="1" t="s">
        <v>197</v>
      </c>
      <c r="M130">
        <f t="shared" si="7"/>
        <v>300</v>
      </c>
      <c r="N130" t="str">
        <f t="shared" si="8"/>
        <v>1966-01-30</v>
      </c>
      <c r="O130">
        <f t="shared" si="9"/>
        <v>45</v>
      </c>
      <c r="P130" t="str">
        <f t="shared" si="10"/>
        <v>mężczyzna</v>
      </c>
      <c r="Q130">
        <f t="shared" si="11"/>
        <v>50</v>
      </c>
      <c r="R130">
        <f t="shared" si="12"/>
        <v>48</v>
      </c>
      <c r="S130">
        <f t="shared" ca="1" si="13"/>
        <v>0</v>
      </c>
    </row>
    <row r="131" spans="1:19">
      <c r="A131" s="1" t="s">
        <v>24</v>
      </c>
      <c r="B131" s="2">
        <v>1000</v>
      </c>
      <c r="C131" s="1">
        <v>0</v>
      </c>
      <c r="D131" s="1" t="s">
        <v>449</v>
      </c>
      <c r="E131" s="1">
        <v>11</v>
      </c>
      <c r="F131" s="3">
        <v>3800</v>
      </c>
      <c r="G131" s="1">
        <v>0</v>
      </c>
      <c r="H131" s="1" t="s">
        <v>450</v>
      </c>
      <c r="I131" s="1" t="s">
        <v>214</v>
      </c>
      <c r="J131" s="1" t="s">
        <v>16</v>
      </c>
      <c r="K131" s="1" t="s">
        <v>16</v>
      </c>
      <c r="L131" s="1" t="s">
        <v>28</v>
      </c>
      <c r="M131">
        <f t="shared" ref="M131:M194" si="14">IF(A131="odmowa", B131,C131)</f>
        <v>1000</v>
      </c>
      <c r="N131" t="str">
        <f t="shared" ref="N131:N194" si="15">CONCATENATE("19", MID(D131, 1, 2), "-", MID(D131, 3, 2), "-", MID(D131, 5, 2))</f>
        <v>1977-07-05</v>
      </c>
      <c r="O131">
        <f t="shared" ref="O131:O194" si="16">YEAR(H131) - YEAR(N131)</f>
        <v>34</v>
      </c>
      <c r="P131" t="str">
        <f t="shared" ref="P131:P194" si="17">IF(MOD(MID(D131, 10, 1), 2)=0, "kobieta", "mężczyzna")</f>
        <v>mężczyzna</v>
      </c>
      <c r="Q131">
        <f t="shared" ref="Q131:Q194" si="18">(YEAR(H131) - YEAR(I131)) * 12 + MONTH(H131) - MONTH(I131)</f>
        <v>55</v>
      </c>
      <c r="R131">
        <f t="shared" ref="R131:R194" si="19">IF(LEFT(J131, 4)="0000", 48, MIN(48, (YEAR(J131) - YEAR(H131)) * 12 + MONTH(J131) - MONTH(H131)))</f>
        <v>48</v>
      </c>
      <c r="S131">
        <f t="shared" ref="S131:S194" ca="1" si="20">IF(LEFT(K131, 4)="0000", 0, IF(LEFT(L131, 4)="0000", MAX(0, TODAY() - K131), MAX(0, L131 - K131)))</f>
        <v>0</v>
      </c>
    </row>
    <row r="132" spans="1:19">
      <c r="A132" s="1" t="s">
        <v>19</v>
      </c>
      <c r="B132" s="2">
        <v>200</v>
      </c>
      <c r="C132" s="1">
        <v>200</v>
      </c>
      <c r="D132" s="1" t="s">
        <v>451</v>
      </c>
      <c r="E132" s="1">
        <v>16</v>
      </c>
      <c r="F132" s="3">
        <v>1600</v>
      </c>
      <c r="G132" s="1">
        <v>1</v>
      </c>
      <c r="H132" s="1" t="s">
        <v>452</v>
      </c>
      <c r="I132" s="1" t="s">
        <v>453</v>
      </c>
      <c r="J132" s="1" t="s">
        <v>16</v>
      </c>
      <c r="K132" s="1" t="s">
        <v>406</v>
      </c>
      <c r="L132" s="1" t="s">
        <v>197</v>
      </c>
      <c r="M132">
        <f t="shared" si="14"/>
        <v>200</v>
      </c>
      <c r="N132" t="str">
        <f t="shared" si="15"/>
        <v>1948-04-02</v>
      </c>
      <c r="O132">
        <f t="shared" si="16"/>
        <v>63</v>
      </c>
      <c r="P132" t="str">
        <f t="shared" si="17"/>
        <v>kobieta</v>
      </c>
      <c r="Q132">
        <f t="shared" si="18"/>
        <v>24</v>
      </c>
      <c r="R132">
        <f t="shared" si="19"/>
        <v>48</v>
      </c>
      <c r="S132">
        <f t="shared" ca="1" si="20"/>
        <v>0</v>
      </c>
    </row>
    <row r="133" spans="1:19">
      <c r="A133" s="1" t="s">
        <v>19</v>
      </c>
      <c r="B133" s="2">
        <v>500</v>
      </c>
      <c r="C133" s="1">
        <v>500</v>
      </c>
      <c r="D133" s="1" t="s">
        <v>454</v>
      </c>
      <c r="E133" s="1">
        <v>12</v>
      </c>
      <c r="F133" s="3">
        <v>1447</v>
      </c>
      <c r="G133" s="1">
        <v>5</v>
      </c>
      <c r="H133" s="1" t="s">
        <v>455</v>
      </c>
      <c r="I133" s="1" t="s">
        <v>456</v>
      </c>
      <c r="J133" s="1" t="s">
        <v>457</v>
      </c>
      <c r="K133" s="1" t="s">
        <v>406</v>
      </c>
      <c r="L133" s="1" t="s">
        <v>211</v>
      </c>
      <c r="M133">
        <f t="shared" si="14"/>
        <v>500</v>
      </c>
      <c r="N133" t="str">
        <f t="shared" si="15"/>
        <v>1982-06-22</v>
      </c>
      <c r="O133">
        <f t="shared" si="16"/>
        <v>29</v>
      </c>
      <c r="P133" t="str">
        <f t="shared" si="17"/>
        <v>kobieta</v>
      </c>
      <c r="Q133">
        <f t="shared" si="18"/>
        <v>22</v>
      </c>
      <c r="R133">
        <f t="shared" si="19"/>
        <v>2</v>
      </c>
      <c r="S133">
        <f t="shared" ca="1" si="20"/>
        <v>3</v>
      </c>
    </row>
    <row r="134" spans="1:19">
      <c r="A134" s="1" t="s">
        <v>19</v>
      </c>
      <c r="B134" s="2">
        <v>300</v>
      </c>
      <c r="C134" s="1">
        <v>300</v>
      </c>
      <c r="D134" s="1" t="s">
        <v>458</v>
      </c>
      <c r="E134" s="1">
        <v>13</v>
      </c>
      <c r="F134" s="3">
        <v>2282</v>
      </c>
      <c r="G134" s="1">
        <v>1</v>
      </c>
      <c r="H134" s="1" t="s">
        <v>459</v>
      </c>
      <c r="I134" s="1" t="s">
        <v>460</v>
      </c>
      <c r="J134" s="1" t="s">
        <v>16</v>
      </c>
      <c r="K134" s="1" t="s">
        <v>406</v>
      </c>
      <c r="L134" s="1" t="s">
        <v>130</v>
      </c>
      <c r="M134">
        <f t="shared" si="14"/>
        <v>300</v>
      </c>
      <c r="N134" t="str">
        <f t="shared" si="15"/>
        <v>1950-03-26</v>
      </c>
      <c r="O134">
        <f t="shared" si="16"/>
        <v>61</v>
      </c>
      <c r="P134" t="str">
        <f t="shared" si="17"/>
        <v>kobieta</v>
      </c>
      <c r="Q134">
        <f t="shared" si="18"/>
        <v>25</v>
      </c>
      <c r="R134">
        <f t="shared" si="19"/>
        <v>48</v>
      </c>
      <c r="S134">
        <f t="shared" ca="1" si="20"/>
        <v>0</v>
      </c>
    </row>
    <row r="135" spans="1:19">
      <c r="A135" s="1" t="s">
        <v>12</v>
      </c>
      <c r="B135" s="2">
        <v>399.72</v>
      </c>
      <c r="C135" s="1">
        <v>399.72</v>
      </c>
      <c r="D135" s="1" t="s">
        <v>461</v>
      </c>
      <c r="E135" s="1">
        <v>11</v>
      </c>
      <c r="F135" s="3">
        <v>2368.5700000000002</v>
      </c>
      <c r="G135" s="1">
        <v>3</v>
      </c>
      <c r="H135" s="1" t="s">
        <v>462</v>
      </c>
      <c r="I135" s="1" t="s">
        <v>463</v>
      </c>
      <c r="J135" s="1" t="s">
        <v>16</v>
      </c>
      <c r="K135" s="1" t="s">
        <v>464</v>
      </c>
      <c r="L135" s="1" t="s">
        <v>313</v>
      </c>
      <c r="M135">
        <f t="shared" si="14"/>
        <v>399.72</v>
      </c>
      <c r="N135" t="str">
        <f t="shared" si="15"/>
        <v>1957-10-12</v>
      </c>
      <c r="O135">
        <f t="shared" si="16"/>
        <v>54</v>
      </c>
      <c r="P135" t="str">
        <f t="shared" si="17"/>
        <v>kobieta</v>
      </c>
      <c r="Q135">
        <f t="shared" si="18"/>
        <v>410</v>
      </c>
      <c r="R135">
        <f t="shared" si="19"/>
        <v>48</v>
      </c>
      <c r="S135">
        <f t="shared" ca="1" si="20"/>
        <v>15</v>
      </c>
    </row>
    <row r="136" spans="1:19">
      <c r="A136" s="1" t="s">
        <v>24</v>
      </c>
      <c r="B136" s="2">
        <v>400</v>
      </c>
      <c r="C136" s="1">
        <v>0</v>
      </c>
      <c r="D136" s="1" t="s">
        <v>465</v>
      </c>
      <c r="E136" s="1">
        <v>12</v>
      </c>
      <c r="F136" s="3">
        <v>1106.03</v>
      </c>
      <c r="G136" s="1">
        <v>0</v>
      </c>
      <c r="H136" s="1" t="s">
        <v>466</v>
      </c>
      <c r="I136" s="1" t="s">
        <v>467</v>
      </c>
      <c r="J136" s="1" t="s">
        <v>468</v>
      </c>
      <c r="K136" s="1" t="s">
        <v>16</v>
      </c>
      <c r="L136" s="1" t="s">
        <v>28</v>
      </c>
      <c r="M136">
        <f t="shared" si="14"/>
        <v>400</v>
      </c>
      <c r="N136" t="str">
        <f t="shared" si="15"/>
        <v>1953-06-30</v>
      </c>
      <c r="O136">
        <f t="shared" si="16"/>
        <v>58</v>
      </c>
      <c r="P136" t="str">
        <f t="shared" si="17"/>
        <v>mężczyzna</v>
      </c>
      <c r="Q136">
        <f t="shared" si="18"/>
        <v>17</v>
      </c>
      <c r="R136">
        <f t="shared" si="19"/>
        <v>9</v>
      </c>
      <c r="S136">
        <f t="shared" ca="1" si="20"/>
        <v>0</v>
      </c>
    </row>
    <row r="137" spans="1:19">
      <c r="A137" s="1" t="s">
        <v>24</v>
      </c>
      <c r="B137" s="2">
        <v>200</v>
      </c>
      <c r="C137" s="1">
        <v>0</v>
      </c>
      <c r="D137" s="1" t="s">
        <v>469</v>
      </c>
      <c r="E137" s="1">
        <v>13</v>
      </c>
      <c r="F137" s="3">
        <v>1212</v>
      </c>
      <c r="G137" s="1">
        <v>0</v>
      </c>
      <c r="H137" s="1" t="s">
        <v>470</v>
      </c>
      <c r="I137" s="1" t="s">
        <v>471</v>
      </c>
      <c r="J137" s="1" t="s">
        <v>16</v>
      </c>
      <c r="K137" s="1" t="s">
        <v>16</v>
      </c>
      <c r="L137" s="1" t="s">
        <v>28</v>
      </c>
      <c r="M137">
        <f t="shared" si="14"/>
        <v>200</v>
      </c>
      <c r="N137" t="str">
        <f t="shared" si="15"/>
        <v>1950-07-28</v>
      </c>
      <c r="O137">
        <f t="shared" si="16"/>
        <v>61</v>
      </c>
      <c r="P137" t="str">
        <f t="shared" si="17"/>
        <v>kobieta</v>
      </c>
      <c r="Q137">
        <f t="shared" si="18"/>
        <v>199</v>
      </c>
      <c r="R137">
        <f t="shared" si="19"/>
        <v>48</v>
      </c>
      <c r="S137">
        <f t="shared" ca="1" si="20"/>
        <v>0</v>
      </c>
    </row>
    <row r="138" spans="1:19">
      <c r="A138" s="1" t="s">
        <v>24</v>
      </c>
      <c r="B138" s="2">
        <v>400</v>
      </c>
      <c r="C138" s="1">
        <v>0</v>
      </c>
      <c r="D138" s="1" t="s">
        <v>472</v>
      </c>
      <c r="E138" s="1">
        <v>13</v>
      </c>
      <c r="F138" s="3">
        <v>717.96</v>
      </c>
      <c r="G138" s="1">
        <v>0</v>
      </c>
      <c r="H138" s="1" t="s">
        <v>473</v>
      </c>
      <c r="I138" s="1" t="s">
        <v>474</v>
      </c>
      <c r="J138" s="1" t="s">
        <v>16</v>
      </c>
      <c r="K138" s="1" t="s">
        <v>16</v>
      </c>
      <c r="L138" s="1" t="s">
        <v>28</v>
      </c>
      <c r="M138">
        <f t="shared" si="14"/>
        <v>400</v>
      </c>
      <c r="N138" t="str">
        <f t="shared" si="15"/>
        <v>1945-05-07</v>
      </c>
      <c r="O138">
        <f t="shared" si="16"/>
        <v>66</v>
      </c>
      <c r="P138" t="str">
        <f t="shared" si="17"/>
        <v>kobieta</v>
      </c>
      <c r="Q138">
        <f t="shared" si="18"/>
        <v>81</v>
      </c>
      <c r="R138">
        <f t="shared" si="19"/>
        <v>48</v>
      </c>
      <c r="S138">
        <f t="shared" ca="1" si="20"/>
        <v>0</v>
      </c>
    </row>
    <row r="139" spans="1:19">
      <c r="A139" s="1" t="s">
        <v>12</v>
      </c>
      <c r="B139" s="2">
        <v>200</v>
      </c>
      <c r="C139" s="1">
        <v>200</v>
      </c>
      <c r="D139" s="1" t="s">
        <v>475</v>
      </c>
      <c r="E139" s="1">
        <v>13</v>
      </c>
      <c r="F139" s="3">
        <v>907</v>
      </c>
      <c r="G139" s="1">
        <v>3</v>
      </c>
      <c r="H139" s="1" t="s">
        <v>476</v>
      </c>
      <c r="I139" s="1" t="s">
        <v>477</v>
      </c>
      <c r="J139" s="1" t="s">
        <v>16</v>
      </c>
      <c r="K139" s="1" t="s">
        <v>464</v>
      </c>
      <c r="L139" s="1" t="s">
        <v>158</v>
      </c>
      <c r="M139">
        <f t="shared" si="14"/>
        <v>200</v>
      </c>
      <c r="N139" t="str">
        <f t="shared" si="15"/>
        <v>1941-02-16</v>
      </c>
      <c r="O139">
        <f t="shared" si="16"/>
        <v>70</v>
      </c>
      <c r="P139" t="str">
        <f t="shared" si="17"/>
        <v>kobieta</v>
      </c>
      <c r="Q139">
        <f t="shared" si="18"/>
        <v>234</v>
      </c>
      <c r="R139">
        <f t="shared" si="19"/>
        <v>48</v>
      </c>
      <c r="S139">
        <f t="shared" ca="1" si="20"/>
        <v>2</v>
      </c>
    </row>
    <row r="140" spans="1:19">
      <c r="A140" s="1" t="s">
        <v>19</v>
      </c>
      <c r="B140" s="2">
        <v>200</v>
      </c>
      <c r="C140" s="1">
        <v>200</v>
      </c>
      <c r="D140" s="1" t="s">
        <v>478</v>
      </c>
      <c r="E140" s="1">
        <v>11</v>
      </c>
      <c r="F140" s="3">
        <v>932.34</v>
      </c>
      <c r="G140" s="1">
        <v>5</v>
      </c>
      <c r="H140" s="1" t="s">
        <v>479</v>
      </c>
      <c r="I140" s="1" t="s">
        <v>480</v>
      </c>
      <c r="J140" s="1" t="s">
        <v>16</v>
      </c>
      <c r="K140" s="1" t="s">
        <v>464</v>
      </c>
      <c r="L140" s="1" t="s">
        <v>125</v>
      </c>
      <c r="M140">
        <f t="shared" si="14"/>
        <v>200</v>
      </c>
      <c r="N140" t="str">
        <f t="shared" si="15"/>
        <v>1960-02-09</v>
      </c>
      <c r="O140">
        <f t="shared" si="16"/>
        <v>51</v>
      </c>
      <c r="P140" t="str">
        <f t="shared" si="17"/>
        <v>kobieta</v>
      </c>
      <c r="Q140">
        <f t="shared" si="18"/>
        <v>395</v>
      </c>
      <c r="R140">
        <f t="shared" si="19"/>
        <v>48</v>
      </c>
      <c r="S140">
        <f t="shared" ca="1" si="20"/>
        <v>0</v>
      </c>
    </row>
    <row r="141" spans="1:19">
      <c r="A141" s="1" t="s">
        <v>19</v>
      </c>
      <c r="B141" s="2">
        <v>300</v>
      </c>
      <c r="C141" s="1">
        <v>300</v>
      </c>
      <c r="D141" s="1" t="s">
        <v>481</v>
      </c>
      <c r="E141" s="1">
        <v>13</v>
      </c>
      <c r="F141" s="3">
        <v>810</v>
      </c>
      <c r="G141" s="1">
        <v>5</v>
      </c>
      <c r="H141" s="1" t="s">
        <v>482</v>
      </c>
      <c r="I141" s="1" t="s">
        <v>483</v>
      </c>
      <c r="J141" s="1" t="s">
        <v>16</v>
      </c>
      <c r="K141" s="1" t="s">
        <v>464</v>
      </c>
      <c r="L141" s="1" t="s">
        <v>211</v>
      </c>
      <c r="M141">
        <f t="shared" si="14"/>
        <v>300</v>
      </c>
      <c r="N141" t="str">
        <f t="shared" si="15"/>
        <v>1951-03-09</v>
      </c>
      <c r="O141">
        <f t="shared" si="16"/>
        <v>60</v>
      </c>
      <c r="P141" t="str">
        <f t="shared" si="17"/>
        <v>kobieta</v>
      </c>
      <c r="Q141">
        <f t="shared" si="18"/>
        <v>33</v>
      </c>
      <c r="R141">
        <f t="shared" si="19"/>
        <v>48</v>
      </c>
      <c r="S141">
        <f t="shared" ca="1" si="20"/>
        <v>1</v>
      </c>
    </row>
    <row r="142" spans="1:19">
      <c r="A142" s="1" t="s">
        <v>12</v>
      </c>
      <c r="B142" s="2">
        <v>200</v>
      </c>
      <c r="C142" s="1">
        <v>200</v>
      </c>
      <c r="D142" s="1" t="s">
        <v>484</v>
      </c>
      <c r="E142" s="1">
        <v>11</v>
      </c>
      <c r="F142" s="3">
        <v>2505</v>
      </c>
      <c r="G142" s="1">
        <v>1</v>
      </c>
      <c r="H142" s="1" t="s">
        <v>485</v>
      </c>
      <c r="I142" s="1" t="s">
        <v>486</v>
      </c>
      <c r="J142" s="1" t="s">
        <v>16</v>
      </c>
      <c r="K142" s="1" t="s">
        <v>464</v>
      </c>
      <c r="L142" s="1" t="s">
        <v>125</v>
      </c>
      <c r="M142">
        <f t="shared" si="14"/>
        <v>200</v>
      </c>
      <c r="N142" t="str">
        <f t="shared" si="15"/>
        <v>1971-12-06</v>
      </c>
      <c r="O142">
        <f t="shared" si="16"/>
        <v>40</v>
      </c>
      <c r="P142" t="str">
        <f t="shared" si="17"/>
        <v>kobieta</v>
      </c>
      <c r="Q142">
        <f t="shared" si="18"/>
        <v>164</v>
      </c>
      <c r="R142">
        <f t="shared" si="19"/>
        <v>48</v>
      </c>
      <c r="S142">
        <f t="shared" ca="1" si="20"/>
        <v>0</v>
      </c>
    </row>
    <row r="143" spans="1:19">
      <c r="A143" s="1" t="s">
        <v>19</v>
      </c>
      <c r="B143" s="2">
        <v>200</v>
      </c>
      <c r="C143" s="1">
        <v>200</v>
      </c>
      <c r="D143" s="1" t="s">
        <v>487</v>
      </c>
      <c r="E143" s="1">
        <v>11</v>
      </c>
      <c r="F143" s="3">
        <v>1493.98</v>
      </c>
      <c r="G143" s="1">
        <v>4</v>
      </c>
      <c r="H143" s="1" t="s">
        <v>488</v>
      </c>
      <c r="I143" s="1" t="s">
        <v>489</v>
      </c>
      <c r="J143" s="1" t="s">
        <v>16</v>
      </c>
      <c r="K143" s="1" t="s">
        <v>464</v>
      </c>
      <c r="L143" s="1" t="s">
        <v>125</v>
      </c>
      <c r="M143">
        <f t="shared" si="14"/>
        <v>200</v>
      </c>
      <c r="N143" t="str">
        <f t="shared" si="15"/>
        <v>1964-05-31</v>
      </c>
      <c r="O143">
        <f t="shared" si="16"/>
        <v>47</v>
      </c>
      <c r="P143" t="str">
        <f t="shared" si="17"/>
        <v>kobieta</v>
      </c>
      <c r="Q143">
        <f t="shared" si="18"/>
        <v>361</v>
      </c>
      <c r="R143">
        <f t="shared" si="19"/>
        <v>48</v>
      </c>
      <c r="S143">
        <f t="shared" ca="1" si="20"/>
        <v>0</v>
      </c>
    </row>
    <row r="144" spans="1:19">
      <c r="A144" s="1" t="s">
        <v>19</v>
      </c>
      <c r="B144" s="2">
        <v>400</v>
      </c>
      <c r="C144" s="1">
        <v>400</v>
      </c>
      <c r="D144" s="1" t="s">
        <v>490</v>
      </c>
      <c r="E144" s="1">
        <v>11</v>
      </c>
      <c r="F144" s="3">
        <v>1730.13</v>
      </c>
      <c r="G144" s="1">
        <v>3</v>
      </c>
      <c r="H144" s="1" t="s">
        <v>491</v>
      </c>
      <c r="I144" s="1" t="s">
        <v>76</v>
      </c>
      <c r="J144" s="1" t="s">
        <v>16</v>
      </c>
      <c r="K144" s="1" t="s">
        <v>464</v>
      </c>
      <c r="L144" s="1" t="s">
        <v>125</v>
      </c>
      <c r="M144">
        <f t="shared" si="14"/>
        <v>400</v>
      </c>
      <c r="N144" t="str">
        <f t="shared" si="15"/>
        <v>1955-04-03</v>
      </c>
      <c r="O144">
        <f t="shared" si="16"/>
        <v>56</v>
      </c>
      <c r="P144" t="str">
        <f t="shared" si="17"/>
        <v>kobieta</v>
      </c>
      <c r="Q144">
        <f t="shared" si="18"/>
        <v>193</v>
      </c>
      <c r="R144">
        <f t="shared" si="19"/>
        <v>48</v>
      </c>
      <c r="S144">
        <f t="shared" ca="1" si="20"/>
        <v>0</v>
      </c>
    </row>
    <row r="145" spans="1:19">
      <c r="A145" s="1" t="s">
        <v>12</v>
      </c>
      <c r="B145" s="2">
        <v>400</v>
      </c>
      <c r="C145" s="1">
        <v>400</v>
      </c>
      <c r="D145" s="1" t="s">
        <v>492</v>
      </c>
      <c r="E145" s="1">
        <v>13</v>
      </c>
      <c r="F145" s="3">
        <v>1425</v>
      </c>
      <c r="G145" s="1">
        <v>0</v>
      </c>
      <c r="H145" s="1" t="s">
        <v>493</v>
      </c>
      <c r="I145" s="1" t="s">
        <v>66</v>
      </c>
      <c r="J145" s="1" t="s">
        <v>16</v>
      </c>
      <c r="K145" s="1" t="s">
        <v>464</v>
      </c>
      <c r="L145" s="1" t="s">
        <v>308</v>
      </c>
      <c r="M145">
        <f t="shared" si="14"/>
        <v>400</v>
      </c>
      <c r="N145" t="str">
        <f t="shared" si="15"/>
        <v>1951-06-22</v>
      </c>
      <c r="O145">
        <f t="shared" si="16"/>
        <v>60</v>
      </c>
      <c r="P145" t="str">
        <f t="shared" si="17"/>
        <v>kobieta</v>
      </c>
      <c r="Q145">
        <f t="shared" si="18"/>
        <v>79</v>
      </c>
      <c r="R145">
        <f t="shared" si="19"/>
        <v>48</v>
      </c>
      <c r="S145">
        <f t="shared" ca="1" si="20"/>
        <v>0</v>
      </c>
    </row>
    <row r="146" spans="1:19">
      <c r="A146" s="1" t="s">
        <v>12</v>
      </c>
      <c r="B146" s="2">
        <v>200</v>
      </c>
      <c r="C146" s="1">
        <v>200</v>
      </c>
      <c r="D146" s="1" t="s">
        <v>494</v>
      </c>
      <c r="E146" s="1">
        <v>13</v>
      </c>
      <c r="F146" s="3">
        <v>910.33</v>
      </c>
      <c r="G146" s="1">
        <v>4</v>
      </c>
      <c r="H146" s="1" t="s">
        <v>495</v>
      </c>
      <c r="I146" s="1" t="s">
        <v>496</v>
      </c>
      <c r="J146" s="1" t="s">
        <v>16</v>
      </c>
      <c r="K146" s="1" t="s">
        <v>464</v>
      </c>
      <c r="L146" s="1" t="s">
        <v>125</v>
      </c>
      <c r="M146">
        <f t="shared" si="14"/>
        <v>200</v>
      </c>
      <c r="N146" t="str">
        <f t="shared" si="15"/>
        <v>1938-05-27</v>
      </c>
      <c r="O146">
        <f t="shared" si="16"/>
        <v>73</v>
      </c>
      <c r="P146" t="str">
        <f t="shared" si="17"/>
        <v>mężczyzna</v>
      </c>
      <c r="Q146">
        <f t="shared" si="18"/>
        <v>163</v>
      </c>
      <c r="R146">
        <f t="shared" si="19"/>
        <v>48</v>
      </c>
      <c r="S146">
        <f t="shared" ca="1" si="20"/>
        <v>0</v>
      </c>
    </row>
    <row r="147" spans="1:19">
      <c r="A147" s="1" t="s">
        <v>12</v>
      </c>
      <c r="B147" s="2">
        <v>400</v>
      </c>
      <c r="C147" s="1">
        <v>300</v>
      </c>
      <c r="D147" s="1" t="s">
        <v>497</v>
      </c>
      <c r="E147" s="1">
        <v>13</v>
      </c>
      <c r="F147" s="3">
        <v>1180</v>
      </c>
      <c r="G147" s="1">
        <v>0</v>
      </c>
      <c r="H147" s="1" t="s">
        <v>498</v>
      </c>
      <c r="I147" s="1" t="s">
        <v>499</v>
      </c>
      <c r="J147" s="1" t="s">
        <v>16</v>
      </c>
      <c r="K147" s="1" t="s">
        <v>464</v>
      </c>
      <c r="L147" s="1" t="s">
        <v>39</v>
      </c>
      <c r="M147">
        <f t="shared" si="14"/>
        <v>300</v>
      </c>
      <c r="N147" t="str">
        <f t="shared" si="15"/>
        <v>1937-08-16</v>
      </c>
      <c r="O147">
        <f t="shared" si="16"/>
        <v>74</v>
      </c>
      <c r="P147" t="str">
        <f t="shared" si="17"/>
        <v>mężczyzna</v>
      </c>
      <c r="Q147">
        <f t="shared" si="18"/>
        <v>140</v>
      </c>
      <c r="R147">
        <f t="shared" si="19"/>
        <v>48</v>
      </c>
      <c r="S147">
        <f t="shared" ca="1" si="20"/>
        <v>0</v>
      </c>
    </row>
    <row r="148" spans="1:19">
      <c r="A148" s="1" t="s">
        <v>12</v>
      </c>
      <c r="B148" s="2">
        <v>1000</v>
      </c>
      <c r="C148" s="1">
        <v>400</v>
      </c>
      <c r="D148" s="1" t="s">
        <v>500</v>
      </c>
      <c r="E148" s="1">
        <v>98</v>
      </c>
      <c r="F148" s="3">
        <v>1256</v>
      </c>
      <c r="G148" s="1">
        <v>0</v>
      </c>
      <c r="H148" s="1" t="s">
        <v>501</v>
      </c>
      <c r="I148" s="1" t="s">
        <v>328</v>
      </c>
      <c r="J148" s="1" t="s">
        <v>16</v>
      </c>
      <c r="K148" s="1" t="s">
        <v>464</v>
      </c>
      <c r="L148" s="1" t="s">
        <v>125</v>
      </c>
      <c r="M148">
        <f t="shared" si="14"/>
        <v>400</v>
      </c>
      <c r="N148" t="str">
        <f t="shared" si="15"/>
        <v>1976-01-07</v>
      </c>
      <c r="O148">
        <f t="shared" si="16"/>
        <v>35</v>
      </c>
      <c r="P148" t="str">
        <f t="shared" si="17"/>
        <v>mężczyzna</v>
      </c>
      <c r="Q148">
        <f t="shared" si="18"/>
        <v>69</v>
      </c>
      <c r="R148">
        <f t="shared" si="19"/>
        <v>48</v>
      </c>
      <c r="S148">
        <f t="shared" ca="1" si="20"/>
        <v>0</v>
      </c>
    </row>
    <row r="149" spans="1:19">
      <c r="A149" s="1" t="s">
        <v>19</v>
      </c>
      <c r="B149" s="2">
        <v>300</v>
      </c>
      <c r="C149" s="1">
        <v>300</v>
      </c>
      <c r="D149" s="1" t="s">
        <v>502</v>
      </c>
      <c r="E149" s="1">
        <v>13</v>
      </c>
      <c r="F149" s="3">
        <v>1442.43</v>
      </c>
      <c r="G149" s="1">
        <v>0</v>
      </c>
      <c r="H149" s="1" t="s">
        <v>503</v>
      </c>
      <c r="I149" s="1" t="s">
        <v>356</v>
      </c>
      <c r="J149" s="1" t="s">
        <v>16</v>
      </c>
      <c r="K149" s="1" t="s">
        <v>464</v>
      </c>
      <c r="L149" s="1" t="s">
        <v>197</v>
      </c>
      <c r="M149">
        <f t="shared" si="14"/>
        <v>300</v>
      </c>
      <c r="N149" t="str">
        <f t="shared" si="15"/>
        <v>1932-02-07</v>
      </c>
      <c r="O149">
        <f t="shared" si="16"/>
        <v>79</v>
      </c>
      <c r="P149" t="str">
        <f t="shared" si="17"/>
        <v>kobieta</v>
      </c>
      <c r="Q149">
        <f t="shared" si="18"/>
        <v>141</v>
      </c>
      <c r="R149">
        <f t="shared" si="19"/>
        <v>48</v>
      </c>
      <c r="S149">
        <f t="shared" ca="1" si="20"/>
        <v>0</v>
      </c>
    </row>
    <row r="150" spans="1:19">
      <c r="A150" s="1" t="s">
        <v>12</v>
      </c>
      <c r="B150" s="2">
        <v>200</v>
      </c>
      <c r="C150" s="1">
        <v>200</v>
      </c>
      <c r="D150" s="1" t="s">
        <v>504</v>
      </c>
      <c r="E150" s="1">
        <v>17</v>
      </c>
      <c r="F150" s="3">
        <v>1100</v>
      </c>
      <c r="G150" s="1">
        <v>3</v>
      </c>
      <c r="H150" s="1" t="s">
        <v>505</v>
      </c>
      <c r="I150" s="1" t="s">
        <v>506</v>
      </c>
      <c r="J150" s="1" t="s">
        <v>507</v>
      </c>
      <c r="K150" s="1" t="s">
        <v>464</v>
      </c>
      <c r="L150" s="1" t="s">
        <v>158</v>
      </c>
      <c r="M150">
        <f t="shared" si="14"/>
        <v>200</v>
      </c>
      <c r="N150" t="str">
        <f t="shared" si="15"/>
        <v>1955-02-22</v>
      </c>
      <c r="O150">
        <f t="shared" si="16"/>
        <v>56</v>
      </c>
      <c r="P150" t="str">
        <f t="shared" si="17"/>
        <v>kobieta</v>
      </c>
      <c r="Q150">
        <f t="shared" si="18"/>
        <v>27</v>
      </c>
      <c r="R150">
        <f t="shared" si="19"/>
        <v>6</v>
      </c>
      <c r="S150">
        <f t="shared" ca="1" si="20"/>
        <v>2</v>
      </c>
    </row>
    <row r="151" spans="1:19">
      <c r="A151" s="1" t="s">
        <v>19</v>
      </c>
      <c r="B151" s="2">
        <v>400</v>
      </c>
      <c r="C151" s="1">
        <v>400</v>
      </c>
      <c r="D151" s="1" t="s">
        <v>508</v>
      </c>
      <c r="E151" s="1">
        <v>98</v>
      </c>
      <c r="F151" s="3">
        <v>3000</v>
      </c>
      <c r="G151" s="1">
        <v>1</v>
      </c>
      <c r="H151" s="1" t="s">
        <v>509</v>
      </c>
      <c r="I151" s="1" t="s">
        <v>333</v>
      </c>
      <c r="J151" s="1" t="s">
        <v>16</v>
      </c>
      <c r="K151" s="1" t="s">
        <v>464</v>
      </c>
      <c r="L151" s="1" t="s">
        <v>125</v>
      </c>
      <c r="M151">
        <f t="shared" si="14"/>
        <v>400</v>
      </c>
      <c r="N151" t="str">
        <f t="shared" si="15"/>
        <v>1959-03-02</v>
      </c>
      <c r="O151">
        <f t="shared" si="16"/>
        <v>52</v>
      </c>
      <c r="P151" t="str">
        <f t="shared" si="17"/>
        <v>kobieta</v>
      </c>
      <c r="Q151">
        <f t="shared" si="18"/>
        <v>85</v>
      </c>
      <c r="R151">
        <f t="shared" si="19"/>
        <v>48</v>
      </c>
      <c r="S151">
        <f t="shared" ca="1" si="20"/>
        <v>0</v>
      </c>
    </row>
    <row r="152" spans="1:19">
      <c r="A152" s="1" t="s">
        <v>19</v>
      </c>
      <c r="B152" s="2">
        <v>700</v>
      </c>
      <c r="C152" s="1">
        <v>700</v>
      </c>
      <c r="D152" s="1" t="s">
        <v>510</v>
      </c>
      <c r="E152" s="1">
        <v>11</v>
      </c>
      <c r="F152" s="3">
        <v>3178.76</v>
      </c>
      <c r="G152" s="1">
        <v>0</v>
      </c>
      <c r="H152" s="1" t="s">
        <v>511</v>
      </c>
      <c r="I152" s="1" t="s">
        <v>319</v>
      </c>
      <c r="J152" s="1" t="s">
        <v>16</v>
      </c>
      <c r="K152" s="1" t="s">
        <v>464</v>
      </c>
      <c r="L152" s="1" t="s">
        <v>125</v>
      </c>
      <c r="M152">
        <f t="shared" si="14"/>
        <v>700</v>
      </c>
      <c r="N152" t="str">
        <f t="shared" si="15"/>
        <v>1974-08-05</v>
      </c>
      <c r="O152">
        <f t="shared" si="16"/>
        <v>37</v>
      </c>
      <c r="P152" t="str">
        <f t="shared" si="17"/>
        <v>kobieta</v>
      </c>
      <c r="Q152">
        <f t="shared" si="18"/>
        <v>121</v>
      </c>
      <c r="R152">
        <f t="shared" si="19"/>
        <v>48</v>
      </c>
      <c r="S152">
        <f t="shared" ca="1" si="20"/>
        <v>0</v>
      </c>
    </row>
    <row r="153" spans="1:19">
      <c r="A153" s="1" t="s">
        <v>19</v>
      </c>
      <c r="B153" s="2">
        <v>700</v>
      </c>
      <c r="C153" s="1">
        <v>700</v>
      </c>
      <c r="D153" s="1" t="s">
        <v>512</v>
      </c>
      <c r="E153" s="1">
        <v>11</v>
      </c>
      <c r="F153" s="3">
        <v>3100</v>
      </c>
      <c r="G153" s="1">
        <v>0</v>
      </c>
      <c r="H153" s="1" t="s">
        <v>513</v>
      </c>
      <c r="I153" s="1" t="s">
        <v>319</v>
      </c>
      <c r="J153" s="1" t="s">
        <v>16</v>
      </c>
      <c r="K153" s="1" t="s">
        <v>464</v>
      </c>
      <c r="L153" s="1" t="s">
        <v>125</v>
      </c>
      <c r="M153">
        <f t="shared" si="14"/>
        <v>700</v>
      </c>
      <c r="N153" t="str">
        <f t="shared" si="15"/>
        <v>1979-05-21</v>
      </c>
      <c r="O153">
        <f t="shared" si="16"/>
        <v>32</v>
      </c>
      <c r="P153" t="str">
        <f t="shared" si="17"/>
        <v>kobieta</v>
      </c>
      <c r="Q153">
        <f t="shared" si="18"/>
        <v>121</v>
      </c>
      <c r="R153">
        <f t="shared" si="19"/>
        <v>48</v>
      </c>
      <c r="S153">
        <f t="shared" ca="1" si="20"/>
        <v>0</v>
      </c>
    </row>
    <row r="154" spans="1:19">
      <c r="A154" s="1" t="s">
        <v>19</v>
      </c>
      <c r="B154" s="2">
        <v>400</v>
      </c>
      <c r="C154" s="1">
        <v>400</v>
      </c>
      <c r="D154" s="1" t="s">
        <v>514</v>
      </c>
      <c r="E154" s="1">
        <v>13</v>
      </c>
      <c r="F154" s="3">
        <v>1900</v>
      </c>
      <c r="G154" s="1">
        <v>1</v>
      </c>
      <c r="H154" s="1" t="s">
        <v>515</v>
      </c>
      <c r="I154" s="1" t="s">
        <v>319</v>
      </c>
      <c r="J154" s="1" t="s">
        <v>16</v>
      </c>
      <c r="K154" s="1" t="s">
        <v>464</v>
      </c>
      <c r="L154" s="1" t="s">
        <v>211</v>
      </c>
      <c r="M154">
        <f t="shared" si="14"/>
        <v>400</v>
      </c>
      <c r="N154" t="str">
        <f t="shared" si="15"/>
        <v>1936-04-01</v>
      </c>
      <c r="O154">
        <f t="shared" si="16"/>
        <v>75</v>
      </c>
      <c r="P154" t="str">
        <f t="shared" si="17"/>
        <v>kobieta</v>
      </c>
      <c r="Q154">
        <f t="shared" si="18"/>
        <v>121</v>
      </c>
      <c r="R154">
        <f t="shared" si="19"/>
        <v>48</v>
      </c>
      <c r="S154">
        <f t="shared" ca="1" si="20"/>
        <v>1</v>
      </c>
    </row>
    <row r="155" spans="1:19">
      <c r="A155" s="1" t="s">
        <v>12</v>
      </c>
      <c r="B155" s="2">
        <v>600</v>
      </c>
      <c r="C155" s="1">
        <v>600</v>
      </c>
      <c r="D155" s="1" t="s">
        <v>516</v>
      </c>
      <c r="E155" s="1">
        <v>11</v>
      </c>
      <c r="F155" s="3">
        <v>1443</v>
      </c>
      <c r="G155" s="1">
        <v>5</v>
      </c>
      <c r="H155" s="1" t="s">
        <v>517</v>
      </c>
      <c r="I155" s="1" t="s">
        <v>62</v>
      </c>
      <c r="J155" s="1" t="s">
        <v>16</v>
      </c>
      <c r="K155" s="1" t="s">
        <v>464</v>
      </c>
      <c r="L155" s="1" t="s">
        <v>51</v>
      </c>
      <c r="M155">
        <f t="shared" si="14"/>
        <v>600</v>
      </c>
      <c r="N155" t="str">
        <f t="shared" si="15"/>
        <v>1968-06-20</v>
      </c>
      <c r="O155">
        <f t="shared" si="16"/>
        <v>43</v>
      </c>
      <c r="P155" t="str">
        <f t="shared" si="17"/>
        <v>kobieta</v>
      </c>
      <c r="Q155">
        <f t="shared" si="18"/>
        <v>34</v>
      </c>
      <c r="R155">
        <f t="shared" si="19"/>
        <v>48</v>
      </c>
      <c r="S155">
        <f t="shared" ca="1" si="20"/>
        <v>0</v>
      </c>
    </row>
    <row r="156" spans="1:19">
      <c r="A156" s="1" t="s">
        <v>19</v>
      </c>
      <c r="B156" s="2">
        <v>200</v>
      </c>
      <c r="C156" s="1">
        <v>200</v>
      </c>
      <c r="D156" s="1" t="s">
        <v>518</v>
      </c>
      <c r="E156" s="1">
        <v>12</v>
      </c>
      <c r="F156" s="3">
        <v>1521</v>
      </c>
      <c r="G156" s="1">
        <v>1</v>
      </c>
      <c r="H156" s="1" t="s">
        <v>519</v>
      </c>
      <c r="I156" s="1" t="s">
        <v>300</v>
      </c>
      <c r="J156" s="1" t="s">
        <v>520</v>
      </c>
      <c r="K156" s="1" t="s">
        <v>464</v>
      </c>
      <c r="L156" s="1" t="s">
        <v>125</v>
      </c>
      <c r="M156">
        <f t="shared" si="14"/>
        <v>200</v>
      </c>
      <c r="N156" t="str">
        <f t="shared" si="15"/>
        <v>1981-12-29</v>
      </c>
      <c r="O156">
        <f t="shared" si="16"/>
        <v>30</v>
      </c>
      <c r="P156" t="str">
        <f t="shared" si="17"/>
        <v>mężczyzna</v>
      </c>
      <c r="Q156">
        <f t="shared" si="18"/>
        <v>20</v>
      </c>
      <c r="R156">
        <f t="shared" si="19"/>
        <v>10</v>
      </c>
      <c r="S156">
        <f t="shared" ca="1" si="20"/>
        <v>0</v>
      </c>
    </row>
    <row r="157" spans="1:19">
      <c r="A157" s="1" t="s">
        <v>309</v>
      </c>
      <c r="B157" s="2">
        <v>500</v>
      </c>
      <c r="C157" s="1">
        <v>400</v>
      </c>
      <c r="D157" s="1" t="s">
        <v>521</v>
      </c>
      <c r="E157" s="1">
        <v>16</v>
      </c>
      <c r="F157" s="3">
        <v>1090</v>
      </c>
      <c r="G157" s="1">
        <v>0</v>
      </c>
      <c r="H157" s="1" t="s">
        <v>522</v>
      </c>
      <c r="I157" s="1" t="s">
        <v>523</v>
      </c>
      <c r="J157" s="1" t="s">
        <v>16</v>
      </c>
      <c r="K157" s="1" t="s">
        <v>464</v>
      </c>
      <c r="L157" s="1" t="s">
        <v>524</v>
      </c>
      <c r="M157">
        <f t="shared" si="14"/>
        <v>400</v>
      </c>
      <c r="N157" t="str">
        <f t="shared" si="15"/>
        <v>1952-10-13</v>
      </c>
      <c r="O157">
        <f t="shared" si="16"/>
        <v>59</v>
      </c>
      <c r="P157" t="str">
        <f t="shared" si="17"/>
        <v>kobieta</v>
      </c>
      <c r="Q157">
        <f t="shared" si="18"/>
        <v>77</v>
      </c>
      <c r="R157">
        <f t="shared" si="19"/>
        <v>48</v>
      </c>
      <c r="S157">
        <f t="shared" ca="1" si="20"/>
        <v>294</v>
      </c>
    </row>
    <row r="158" spans="1:19">
      <c r="A158" s="1" t="s">
        <v>19</v>
      </c>
      <c r="B158" s="2">
        <v>500</v>
      </c>
      <c r="C158" s="1">
        <v>500</v>
      </c>
      <c r="D158" s="1" t="s">
        <v>525</v>
      </c>
      <c r="E158" s="1">
        <v>13</v>
      </c>
      <c r="F158" s="3">
        <v>1900</v>
      </c>
      <c r="G158" s="1">
        <v>5</v>
      </c>
      <c r="H158" s="1" t="s">
        <v>526</v>
      </c>
      <c r="I158" s="1" t="s">
        <v>527</v>
      </c>
      <c r="J158" s="1" t="s">
        <v>16</v>
      </c>
      <c r="K158" s="1" t="s">
        <v>464</v>
      </c>
      <c r="L158" s="1" t="s">
        <v>125</v>
      </c>
      <c r="M158">
        <f t="shared" si="14"/>
        <v>500</v>
      </c>
      <c r="N158" t="str">
        <f t="shared" si="15"/>
        <v>1955-09-30</v>
      </c>
      <c r="O158">
        <f t="shared" si="16"/>
        <v>56</v>
      </c>
      <c r="P158" t="str">
        <f t="shared" si="17"/>
        <v>mężczyzna</v>
      </c>
      <c r="Q158">
        <f t="shared" si="18"/>
        <v>150</v>
      </c>
      <c r="R158">
        <f t="shared" si="19"/>
        <v>48</v>
      </c>
      <c r="S158">
        <f t="shared" ca="1" si="20"/>
        <v>0</v>
      </c>
    </row>
    <row r="159" spans="1:19">
      <c r="A159" s="1" t="s">
        <v>19</v>
      </c>
      <c r="B159" s="2">
        <v>200</v>
      </c>
      <c r="C159" s="1">
        <v>200</v>
      </c>
      <c r="D159" s="1" t="s">
        <v>528</v>
      </c>
      <c r="E159" s="1">
        <v>17</v>
      </c>
      <c r="F159" s="3">
        <v>728</v>
      </c>
      <c r="G159" s="1">
        <v>5</v>
      </c>
      <c r="H159" s="1" t="s">
        <v>529</v>
      </c>
      <c r="I159" s="1" t="s">
        <v>530</v>
      </c>
      <c r="J159" s="1" t="s">
        <v>531</v>
      </c>
      <c r="K159" s="1" t="s">
        <v>532</v>
      </c>
      <c r="L159" s="1" t="s">
        <v>211</v>
      </c>
      <c r="M159">
        <f t="shared" si="14"/>
        <v>200</v>
      </c>
      <c r="N159" t="str">
        <f t="shared" si="15"/>
        <v>1984-09-24</v>
      </c>
      <c r="O159">
        <f t="shared" si="16"/>
        <v>27</v>
      </c>
      <c r="P159" t="str">
        <f t="shared" si="17"/>
        <v>mężczyzna</v>
      </c>
      <c r="Q159">
        <f t="shared" si="18"/>
        <v>100</v>
      </c>
      <c r="R159">
        <f t="shared" si="19"/>
        <v>30</v>
      </c>
      <c r="S159">
        <f t="shared" ca="1" si="20"/>
        <v>0</v>
      </c>
    </row>
    <row r="160" spans="1:19">
      <c r="A160" s="1" t="s">
        <v>19</v>
      </c>
      <c r="B160" s="2">
        <v>200</v>
      </c>
      <c r="C160" s="1">
        <v>200</v>
      </c>
      <c r="D160" s="1" t="s">
        <v>533</v>
      </c>
      <c r="E160" s="1">
        <v>12</v>
      </c>
      <c r="F160" s="3">
        <v>984.34</v>
      </c>
      <c r="G160" s="1">
        <v>4</v>
      </c>
      <c r="H160" s="1" t="s">
        <v>534</v>
      </c>
      <c r="I160" s="1" t="s">
        <v>535</v>
      </c>
      <c r="J160" s="1" t="s">
        <v>63</v>
      </c>
      <c r="K160" s="1" t="s">
        <v>532</v>
      </c>
      <c r="L160" s="1" t="s">
        <v>442</v>
      </c>
      <c r="M160">
        <f t="shared" si="14"/>
        <v>200</v>
      </c>
      <c r="N160" t="str">
        <f t="shared" si="15"/>
        <v>1958-03-15</v>
      </c>
      <c r="O160">
        <f t="shared" si="16"/>
        <v>53</v>
      </c>
      <c r="P160" t="str">
        <f t="shared" si="17"/>
        <v>kobieta</v>
      </c>
      <c r="Q160">
        <f t="shared" si="18"/>
        <v>18</v>
      </c>
      <c r="R160">
        <f t="shared" si="19"/>
        <v>2</v>
      </c>
      <c r="S160">
        <f t="shared" ca="1" si="20"/>
        <v>6</v>
      </c>
    </row>
    <row r="161" spans="1:19">
      <c r="A161" s="1" t="s">
        <v>12</v>
      </c>
      <c r="B161" s="2">
        <v>300</v>
      </c>
      <c r="C161" s="1">
        <v>300</v>
      </c>
      <c r="D161" s="1" t="s">
        <v>536</v>
      </c>
      <c r="E161" s="1">
        <v>13</v>
      </c>
      <c r="F161" s="3">
        <v>2110</v>
      </c>
      <c r="G161" s="1">
        <v>5</v>
      </c>
      <c r="H161" s="1" t="s">
        <v>537</v>
      </c>
      <c r="I161" s="1" t="s">
        <v>538</v>
      </c>
      <c r="J161" s="1" t="s">
        <v>16</v>
      </c>
      <c r="K161" s="1" t="s">
        <v>532</v>
      </c>
      <c r="L161" s="1" t="s">
        <v>158</v>
      </c>
      <c r="M161">
        <f t="shared" si="14"/>
        <v>300</v>
      </c>
      <c r="N161" t="str">
        <f t="shared" si="15"/>
        <v>1945-12-02</v>
      </c>
      <c r="O161">
        <f t="shared" si="16"/>
        <v>66</v>
      </c>
      <c r="P161" t="str">
        <f t="shared" si="17"/>
        <v>mężczyzna</v>
      </c>
      <c r="Q161">
        <f t="shared" si="18"/>
        <v>101</v>
      </c>
      <c r="R161">
        <f t="shared" si="19"/>
        <v>48</v>
      </c>
      <c r="S161">
        <f t="shared" ca="1" si="20"/>
        <v>1</v>
      </c>
    </row>
    <row r="162" spans="1:19">
      <c r="A162" s="1" t="s">
        <v>24</v>
      </c>
      <c r="B162" s="2">
        <v>800</v>
      </c>
      <c r="C162" s="1">
        <v>0</v>
      </c>
      <c r="D162" s="1" t="s">
        <v>539</v>
      </c>
      <c r="E162" s="1">
        <v>11</v>
      </c>
      <c r="F162" s="3">
        <v>1682</v>
      </c>
      <c r="G162" s="1">
        <v>0</v>
      </c>
      <c r="H162" s="1" t="s">
        <v>540</v>
      </c>
      <c r="I162" s="1" t="s">
        <v>541</v>
      </c>
      <c r="J162" s="1" t="s">
        <v>16</v>
      </c>
      <c r="K162" s="1" t="s">
        <v>16</v>
      </c>
      <c r="L162" s="1" t="s">
        <v>28</v>
      </c>
      <c r="M162">
        <f t="shared" si="14"/>
        <v>800</v>
      </c>
      <c r="N162" t="str">
        <f t="shared" si="15"/>
        <v>1974-11-03</v>
      </c>
      <c r="O162">
        <f t="shared" si="16"/>
        <v>37</v>
      </c>
      <c r="P162" t="str">
        <f t="shared" si="17"/>
        <v>kobieta</v>
      </c>
      <c r="Q162">
        <f t="shared" si="18"/>
        <v>96</v>
      </c>
      <c r="R162">
        <f t="shared" si="19"/>
        <v>48</v>
      </c>
      <c r="S162">
        <f t="shared" ca="1" si="20"/>
        <v>0</v>
      </c>
    </row>
    <row r="163" spans="1:19">
      <c r="A163" s="1" t="s">
        <v>24</v>
      </c>
      <c r="B163" s="2">
        <v>200</v>
      </c>
      <c r="C163" s="1">
        <v>0</v>
      </c>
      <c r="D163" s="1" t="s">
        <v>542</v>
      </c>
      <c r="E163" s="1">
        <v>12</v>
      </c>
      <c r="F163" s="3">
        <v>1033.71</v>
      </c>
      <c r="G163" s="1">
        <v>0</v>
      </c>
      <c r="H163" s="1" t="s">
        <v>543</v>
      </c>
      <c r="I163" s="1" t="s">
        <v>544</v>
      </c>
      <c r="J163" s="1" t="s">
        <v>207</v>
      </c>
      <c r="K163" s="1" t="s">
        <v>16</v>
      </c>
      <c r="L163" s="1" t="s">
        <v>28</v>
      </c>
      <c r="M163">
        <f t="shared" si="14"/>
        <v>200</v>
      </c>
      <c r="N163" t="str">
        <f t="shared" si="15"/>
        <v>1954-03-31</v>
      </c>
      <c r="O163">
        <f t="shared" si="16"/>
        <v>57</v>
      </c>
      <c r="P163" t="str">
        <f t="shared" si="17"/>
        <v>mężczyzna</v>
      </c>
      <c r="Q163">
        <f t="shared" si="18"/>
        <v>8</v>
      </c>
      <c r="R163">
        <f t="shared" si="19"/>
        <v>1</v>
      </c>
      <c r="S163">
        <f t="shared" ca="1" si="20"/>
        <v>0</v>
      </c>
    </row>
    <row r="164" spans="1:19">
      <c r="A164" s="1" t="s">
        <v>19</v>
      </c>
      <c r="B164" s="2">
        <v>500</v>
      </c>
      <c r="C164" s="1">
        <v>500</v>
      </c>
      <c r="D164" s="1" t="s">
        <v>545</v>
      </c>
      <c r="E164" s="1">
        <v>11</v>
      </c>
      <c r="F164" s="3">
        <v>1800</v>
      </c>
      <c r="G164" s="1">
        <v>5</v>
      </c>
      <c r="H164" s="1" t="s">
        <v>546</v>
      </c>
      <c r="I164" s="1" t="s">
        <v>547</v>
      </c>
      <c r="J164" s="1" t="s">
        <v>16</v>
      </c>
      <c r="K164" s="1" t="s">
        <v>532</v>
      </c>
      <c r="L164" s="1" t="s">
        <v>211</v>
      </c>
      <c r="M164">
        <f t="shared" si="14"/>
        <v>500</v>
      </c>
      <c r="N164" t="str">
        <f t="shared" si="15"/>
        <v>1962-10-31</v>
      </c>
      <c r="O164">
        <f t="shared" si="16"/>
        <v>49</v>
      </c>
      <c r="P164" t="str">
        <f t="shared" si="17"/>
        <v>kobieta</v>
      </c>
      <c r="Q164">
        <f t="shared" si="18"/>
        <v>53</v>
      </c>
      <c r="R164">
        <f t="shared" si="19"/>
        <v>48</v>
      </c>
      <c r="S164">
        <f t="shared" ca="1" si="20"/>
        <v>0</v>
      </c>
    </row>
    <row r="165" spans="1:19">
      <c r="A165" s="1" t="s">
        <v>24</v>
      </c>
      <c r="B165" s="2">
        <v>300</v>
      </c>
      <c r="C165" s="1">
        <v>0</v>
      </c>
      <c r="D165" s="1" t="s">
        <v>548</v>
      </c>
      <c r="E165" s="1">
        <v>12</v>
      </c>
      <c r="F165" s="3">
        <v>990.59</v>
      </c>
      <c r="G165" s="1">
        <v>0</v>
      </c>
      <c r="H165" s="1" t="s">
        <v>549</v>
      </c>
      <c r="I165" s="1" t="s">
        <v>550</v>
      </c>
      <c r="J165" s="1" t="s">
        <v>551</v>
      </c>
      <c r="K165" s="1" t="s">
        <v>16</v>
      </c>
      <c r="L165" s="1" t="s">
        <v>28</v>
      </c>
      <c r="M165">
        <f t="shared" si="14"/>
        <v>300</v>
      </c>
      <c r="N165" t="str">
        <f t="shared" si="15"/>
        <v>1975-04-30</v>
      </c>
      <c r="O165">
        <f t="shared" si="16"/>
        <v>36</v>
      </c>
      <c r="P165" t="str">
        <f t="shared" si="17"/>
        <v>mężczyzna</v>
      </c>
      <c r="Q165">
        <f t="shared" si="18"/>
        <v>74</v>
      </c>
      <c r="R165">
        <f t="shared" si="19"/>
        <v>46</v>
      </c>
      <c r="S165">
        <f t="shared" ca="1" si="20"/>
        <v>0</v>
      </c>
    </row>
    <row r="166" spans="1:19">
      <c r="A166" s="1" t="s">
        <v>19</v>
      </c>
      <c r="B166" s="2">
        <v>500</v>
      </c>
      <c r="C166" s="1">
        <v>300</v>
      </c>
      <c r="D166" s="1" t="s">
        <v>552</v>
      </c>
      <c r="E166" s="1">
        <v>13</v>
      </c>
      <c r="F166" s="3">
        <v>1573</v>
      </c>
      <c r="G166" s="1">
        <v>0</v>
      </c>
      <c r="H166" s="1" t="s">
        <v>553</v>
      </c>
      <c r="I166" s="1" t="s">
        <v>554</v>
      </c>
      <c r="J166" s="1" t="s">
        <v>16</v>
      </c>
      <c r="K166" s="1" t="s">
        <v>532</v>
      </c>
      <c r="L166" s="1" t="s">
        <v>215</v>
      </c>
      <c r="M166">
        <f t="shared" si="14"/>
        <v>300</v>
      </c>
      <c r="N166" t="str">
        <f t="shared" si="15"/>
        <v>1944-05-19</v>
      </c>
      <c r="O166">
        <f t="shared" si="16"/>
        <v>67</v>
      </c>
      <c r="P166" t="str">
        <f t="shared" si="17"/>
        <v>mężczyzna</v>
      </c>
      <c r="Q166">
        <f t="shared" si="18"/>
        <v>89</v>
      </c>
      <c r="R166">
        <f t="shared" si="19"/>
        <v>48</v>
      </c>
      <c r="S166">
        <f t="shared" ca="1" si="20"/>
        <v>12</v>
      </c>
    </row>
    <row r="167" spans="1:19">
      <c r="A167" s="1" t="s">
        <v>19</v>
      </c>
      <c r="B167" s="2">
        <v>200</v>
      </c>
      <c r="C167" s="1">
        <v>200</v>
      </c>
      <c r="D167" s="1" t="s">
        <v>555</v>
      </c>
      <c r="E167" s="1">
        <v>99</v>
      </c>
      <c r="F167" s="3">
        <v>1100</v>
      </c>
      <c r="G167" s="1">
        <v>2</v>
      </c>
      <c r="H167" s="1" t="s">
        <v>556</v>
      </c>
      <c r="I167" s="1" t="s">
        <v>557</v>
      </c>
      <c r="J167" s="1" t="s">
        <v>558</v>
      </c>
      <c r="K167" s="1" t="s">
        <v>532</v>
      </c>
      <c r="L167" s="1" t="s">
        <v>158</v>
      </c>
      <c r="M167">
        <f t="shared" si="14"/>
        <v>200</v>
      </c>
      <c r="N167" t="str">
        <f t="shared" si="15"/>
        <v>1958-10-15</v>
      </c>
      <c r="O167">
        <f t="shared" si="16"/>
        <v>53</v>
      </c>
      <c r="P167" t="str">
        <f t="shared" si="17"/>
        <v>kobieta</v>
      </c>
      <c r="Q167">
        <f t="shared" si="18"/>
        <v>52</v>
      </c>
      <c r="R167">
        <f t="shared" si="19"/>
        <v>1</v>
      </c>
      <c r="S167">
        <f t="shared" ca="1" si="20"/>
        <v>1</v>
      </c>
    </row>
    <row r="168" spans="1:19">
      <c r="A168" s="1" t="s">
        <v>19</v>
      </c>
      <c r="B168" s="2">
        <v>349.66</v>
      </c>
      <c r="C168" s="1">
        <v>349.66</v>
      </c>
      <c r="D168" s="1" t="s">
        <v>559</v>
      </c>
      <c r="E168" s="1">
        <v>13</v>
      </c>
      <c r="F168" s="3">
        <v>1601.87</v>
      </c>
      <c r="G168" s="1">
        <v>1</v>
      </c>
      <c r="H168" s="1" t="s">
        <v>560</v>
      </c>
      <c r="I168" s="1" t="s">
        <v>561</v>
      </c>
      <c r="J168" s="1" t="s">
        <v>16</v>
      </c>
      <c r="K168" s="1" t="s">
        <v>532</v>
      </c>
      <c r="L168" s="1" t="s">
        <v>158</v>
      </c>
      <c r="M168">
        <f t="shared" si="14"/>
        <v>349.66</v>
      </c>
      <c r="N168" t="str">
        <f t="shared" si="15"/>
        <v>1947-10-25</v>
      </c>
      <c r="O168">
        <f t="shared" si="16"/>
        <v>64</v>
      </c>
      <c r="P168" t="str">
        <f t="shared" si="17"/>
        <v>mężczyzna</v>
      </c>
      <c r="Q168">
        <f t="shared" si="18"/>
        <v>45</v>
      </c>
      <c r="R168">
        <f t="shared" si="19"/>
        <v>48</v>
      </c>
      <c r="S168">
        <f t="shared" ca="1" si="20"/>
        <v>1</v>
      </c>
    </row>
    <row r="169" spans="1:19">
      <c r="A169" s="1" t="s">
        <v>19</v>
      </c>
      <c r="B169" s="2">
        <v>300</v>
      </c>
      <c r="C169" s="1">
        <v>300</v>
      </c>
      <c r="D169" s="1" t="s">
        <v>562</v>
      </c>
      <c r="E169" s="1">
        <v>16</v>
      </c>
      <c r="F169" s="3">
        <v>634.64</v>
      </c>
      <c r="G169" s="1">
        <v>4</v>
      </c>
      <c r="H169" s="1" t="s">
        <v>563</v>
      </c>
      <c r="I169" s="1" t="s">
        <v>564</v>
      </c>
      <c r="J169" s="1" t="s">
        <v>16</v>
      </c>
      <c r="K169" s="1" t="s">
        <v>532</v>
      </c>
      <c r="L169" s="1" t="s">
        <v>565</v>
      </c>
      <c r="M169">
        <f t="shared" si="14"/>
        <v>300</v>
      </c>
      <c r="N169" t="str">
        <f t="shared" si="15"/>
        <v>1954-06-09</v>
      </c>
      <c r="O169">
        <f t="shared" si="16"/>
        <v>57</v>
      </c>
      <c r="P169" t="str">
        <f t="shared" si="17"/>
        <v>kobieta</v>
      </c>
      <c r="Q169">
        <f t="shared" si="18"/>
        <v>136</v>
      </c>
      <c r="R169">
        <f t="shared" si="19"/>
        <v>48</v>
      </c>
      <c r="S169">
        <f t="shared" ca="1" si="20"/>
        <v>4</v>
      </c>
    </row>
    <row r="170" spans="1:19">
      <c r="A170" s="1" t="s">
        <v>19</v>
      </c>
      <c r="B170" s="2">
        <v>1000</v>
      </c>
      <c r="C170" s="1">
        <v>1000</v>
      </c>
      <c r="D170" s="1" t="s">
        <v>566</v>
      </c>
      <c r="E170" s="1">
        <v>11</v>
      </c>
      <c r="F170" s="3">
        <v>2200</v>
      </c>
      <c r="G170" s="1">
        <v>0</v>
      </c>
      <c r="H170" s="1" t="s">
        <v>567</v>
      </c>
      <c r="I170" s="1" t="s">
        <v>34</v>
      </c>
      <c r="J170" s="1" t="s">
        <v>16</v>
      </c>
      <c r="K170" s="1" t="s">
        <v>532</v>
      </c>
      <c r="L170" s="1" t="s">
        <v>43</v>
      </c>
      <c r="M170">
        <f t="shared" si="14"/>
        <v>1000</v>
      </c>
      <c r="N170" t="str">
        <f t="shared" si="15"/>
        <v>1978-01-28</v>
      </c>
      <c r="O170">
        <f t="shared" si="16"/>
        <v>33</v>
      </c>
      <c r="P170" t="str">
        <f t="shared" si="17"/>
        <v>kobieta</v>
      </c>
      <c r="Q170">
        <f t="shared" si="18"/>
        <v>37</v>
      </c>
      <c r="R170">
        <f t="shared" si="19"/>
        <v>48</v>
      </c>
      <c r="S170">
        <f t="shared" ca="1" si="20"/>
        <v>0</v>
      </c>
    </row>
    <row r="171" spans="1:19">
      <c r="A171" s="1" t="s">
        <v>12</v>
      </c>
      <c r="B171" s="2">
        <v>297.86</v>
      </c>
      <c r="C171" s="1">
        <v>297.86</v>
      </c>
      <c r="D171" s="1" t="s">
        <v>568</v>
      </c>
      <c r="E171" s="1">
        <v>12</v>
      </c>
      <c r="F171" s="3">
        <v>1634</v>
      </c>
      <c r="G171" s="1">
        <v>3</v>
      </c>
      <c r="H171" s="1" t="s">
        <v>569</v>
      </c>
      <c r="I171" s="1" t="s">
        <v>395</v>
      </c>
      <c r="J171" s="1" t="s">
        <v>570</v>
      </c>
      <c r="K171" s="1" t="s">
        <v>532</v>
      </c>
      <c r="L171" s="1" t="s">
        <v>215</v>
      </c>
      <c r="M171">
        <f t="shared" si="14"/>
        <v>297.86</v>
      </c>
      <c r="N171" t="str">
        <f t="shared" si="15"/>
        <v>1989-11-25</v>
      </c>
      <c r="O171">
        <f t="shared" si="16"/>
        <v>22</v>
      </c>
      <c r="P171" t="str">
        <f t="shared" si="17"/>
        <v>kobieta</v>
      </c>
      <c r="Q171">
        <f t="shared" si="18"/>
        <v>12</v>
      </c>
      <c r="R171">
        <f t="shared" si="19"/>
        <v>3</v>
      </c>
      <c r="S171">
        <f t="shared" ca="1" si="20"/>
        <v>12</v>
      </c>
    </row>
    <row r="172" spans="1:19">
      <c r="A172" s="1" t="s">
        <v>309</v>
      </c>
      <c r="B172" s="2">
        <v>1000</v>
      </c>
      <c r="C172" s="1">
        <v>500</v>
      </c>
      <c r="D172" s="1" t="s">
        <v>571</v>
      </c>
      <c r="E172" s="1">
        <v>13</v>
      </c>
      <c r="F172" s="3">
        <v>2112</v>
      </c>
      <c r="G172" s="1">
        <v>0</v>
      </c>
      <c r="H172" s="1" t="s">
        <v>572</v>
      </c>
      <c r="I172" s="1" t="s">
        <v>573</v>
      </c>
      <c r="J172" s="1" t="s">
        <v>16</v>
      </c>
      <c r="K172" s="1" t="s">
        <v>532</v>
      </c>
      <c r="L172" s="1" t="s">
        <v>574</v>
      </c>
      <c r="M172">
        <f t="shared" si="14"/>
        <v>500</v>
      </c>
      <c r="N172" t="str">
        <f t="shared" si="15"/>
        <v>1938-12-21</v>
      </c>
      <c r="O172">
        <f t="shared" si="16"/>
        <v>73</v>
      </c>
      <c r="P172" t="str">
        <f t="shared" si="17"/>
        <v>mężczyzna</v>
      </c>
      <c r="Q172">
        <f t="shared" si="18"/>
        <v>98</v>
      </c>
      <c r="R172">
        <f t="shared" si="19"/>
        <v>48</v>
      </c>
      <c r="S172">
        <f t="shared" ca="1" si="20"/>
        <v>322</v>
      </c>
    </row>
    <row r="173" spans="1:19">
      <c r="A173" s="1" t="s">
        <v>19</v>
      </c>
      <c r="B173" s="2">
        <v>1000</v>
      </c>
      <c r="C173" s="1">
        <v>800</v>
      </c>
      <c r="D173" s="1" t="s">
        <v>575</v>
      </c>
      <c r="E173" s="1">
        <v>13</v>
      </c>
      <c r="F173" s="3">
        <v>5100</v>
      </c>
      <c r="G173" s="1">
        <v>0</v>
      </c>
      <c r="H173" s="1" t="s">
        <v>576</v>
      </c>
      <c r="I173" s="1" t="s">
        <v>577</v>
      </c>
      <c r="J173" s="1" t="s">
        <v>16</v>
      </c>
      <c r="K173" s="1" t="s">
        <v>532</v>
      </c>
      <c r="L173" s="1" t="s">
        <v>211</v>
      </c>
      <c r="M173">
        <f t="shared" si="14"/>
        <v>800</v>
      </c>
      <c r="N173" t="str">
        <f t="shared" si="15"/>
        <v>1950-08-28</v>
      </c>
      <c r="O173">
        <f t="shared" si="16"/>
        <v>61</v>
      </c>
      <c r="P173" t="str">
        <f t="shared" si="17"/>
        <v>kobieta</v>
      </c>
      <c r="Q173">
        <f t="shared" si="18"/>
        <v>28</v>
      </c>
      <c r="R173">
        <f t="shared" si="19"/>
        <v>48</v>
      </c>
      <c r="S173">
        <f t="shared" ca="1" si="20"/>
        <v>0</v>
      </c>
    </row>
    <row r="174" spans="1:19">
      <c r="A174" s="1" t="s">
        <v>19</v>
      </c>
      <c r="B174" s="2">
        <v>300</v>
      </c>
      <c r="C174" s="1">
        <v>250</v>
      </c>
      <c r="D174" s="1" t="s">
        <v>578</v>
      </c>
      <c r="E174" s="1">
        <v>16</v>
      </c>
      <c r="F174" s="3">
        <v>2100</v>
      </c>
      <c r="G174" s="1">
        <v>0</v>
      </c>
      <c r="H174" s="1" t="s">
        <v>579</v>
      </c>
      <c r="I174" s="1" t="s">
        <v>580</v>
      </c>
      <c r="J174" s="1" t="s">
        <v>16</v>
      </c>
      <c r="K174" s="1" t="s">
        <v>532</v>
      </c>
      <c r="L174" s="1" t="s">
        <v>565</v>
      </c>
      <c r="M174">
        <f t="shared" si="14"/>
        <v>250</v>
      </c>
      <c r="N174" t="str">
        <f t="shared" si="15"/>
        <v>1954-07-29</v>
      </c>
      <c r="O174">
        <f t="shared" si="16"/>
        <v>57</v>
      </c>
      <c r="P174" t="str">
        <f t="shared" si="17"/>
        <v>kobieta</v>
      </c>
      <c r="Q174">
        <f t="shared" si="18"/>
        <v>39</v>
      </c>
      <c r="R174">
        <f t="shared" si="19"/>
        <v>48</v>
      </c>
      <c r="S174">
        <f t="shared" ca="1" si="20"/>
        <v>4</v>
      </c>
    </row>
    <row r="175" spans="1:19">
      <c r="A175" s="1" t="s">
        <v>12</v>
      </c>
      <c r="B175" s="2">
        <v>200</v>
      </c>
      <c r="C175" s="1">
        <v>200</v>
      </c>
      <c r="D175" s="1" t="s">
        <v>581</v>
      </c>
      <c r="E175" s="1">
        <v>12</v>
      </c>
      <c r="F175" s="3">
        <v>1210</v>
      </c>
      <c r="G175" s="1">
        <v>0</v>
      </c>
      <c r="H175" s="1" t="s">
        <v>582</v>
      </c>
      <c r="I175" s="1" t="s">
        <v>583</v>
      </c>
      <c r="J175" s="1" t="s">
        <v>63</v>
      </c>
      <c r="K175" s="1" t="s">
        <v>584</v>
      </c>
      <c r="L175" s="1" t="s">
        <v>585</v>
      </c>
      <c r="M175">
        <f t="shared" si="14"/>
        <v>200</v>
      </c>
      <c r="N175" t="str">
        <f t="shared" si="15"/>
        <v>1959-02-16</v>
      </c>
      <c r="O175">
        <f t="shared" si="16"/>
        <v>52</v>
      </c>
      <c r="P175" t="str">
        <f t="shared" si="17"/>
        <v>mężczyzna</v>
      </c>
      <c r="Q175">
        <f t="shared" si="18"/>
        <v>7</v>
      </c>
      <c r="R175">
        <f t="shared" si="19"/>
        <v>2</v>
      </c>
      <c r="S175">
        <f t="shared" ca="1" si="20"/>
        <v>14</v>
      </c>
    </row>
    <row r="176" spans="1:19">
      <c r="A176" s="1" t="s">
        <v>19</v>
      </c>
      <c r="B176" s="2">
        <v>300</v>
      </c>
      <c r="C176" s="1">
        <v>300</v>
      </c>
      <c r="D176" s="1" t="s">
        <v>586</v>
      </c>
      <c r="E176" s="1">
        <v>12</v>
      </c>
      <c r="F176" s="3">
        <v>1500</v>
      </c>
      <c r="G176" s="1">
        <v>4</v>
      </c>
      <c r="H176" s="1" t="s">
        <v>587</v>
      </c>
      <c r="I176" s="1" t="s">
        <v>161</v>
      </c>
      <c r="J176" s="1" t="s">
        <v>558</v>
      </c>
      <c r="K176" s="1" t="s">
        <v>584</v>
      </c>
      <c r="L176" s="1" t="s">
        <v>565</v>
      </c>
      <c r="M176">
        <f t="shared" si="14"/>
        <v>300</v>
      </c>
      <c r="N176" t="str">
        <f t="shared" si="15"/>
        <v>1989-06-09</v>
      </c>
      <c r="O176">
        <f t="shared" si="16"/>
        <v>22</v>
      </c>
      <c r="P176" t="str">
        <f t="shared" si="17"/>
        <v>kobieta</v>
      </c>
      <c r="Q176">
        <f t="shared" si="18"/>
        <v>4</v>
      </c>
      <c r="R176">
        <f t="shared" si="19"/>
        <v>1</v>
      </c>
      <c r="S176">
        <f t="shared" ca="1" si="20"/>
        <v>3</v>
      </c>
    </row>
    <row r="177" spans="1:19">
      <c r="A177" s="1" t="s">
        <v>12</v>
      </c>
      <c r="B177" s="2">
        <v>300</v>
      </c>
      <c r="C177" s="1">
        <v>300</v>
      </c>
      <c r="D177" s="1" t="s">
        <v>588</v>
      </c>
      <c r="E177" s="1">
        <v>12</v>
      </c>
      <c r="F177" s="3">
        <v>1300</v>
      </c>
      <c r="G177" s="1">
        <v>4</v>
      </c>
      <c r="H177" s="1" t="s">
        <v>589</v>
      </c>
      <c r="I177" s="1" t="s">
        <v>590</v>
      </c>
      <c r="J177" s="1" t="s">
        <v>591</v>
      </c>
      <c r="K177" s="1" t="s">
        <v>584</v>
      </c>
      <c r="L177" s="1" t="s">
        <v>592</v>
      </c>
      <c r="M177">
        <f t="shared" si="14"/>
        <v>300</v>
      </c>
      <c r="N177" t="str">
        <f t="shared" si="15"/>
        <v>1985-07-22</v>
      </c>
      <c r="O177">
        <f t="shared" si="16"/>
        <v>26</v>
      </c>
      <c r="P177" t="str">
        <f t="shared" si="17"/>
        <v>kobieta</v>
      </c>
      <c r="Q177">
        <f t="shared" si="18"/>
        <v>8</v>
      </c>
      <c r="R177">
        <f t="shared" si="19"/>
        <v>4</v>
      </c>
      <c r="S177">
        <f t="shared" ca="1" si="20"/>
        <v>4</v>
      </c>
    </row>
    <row r="178" spans="1:19">
      <c r="A178" s="1" t="s">
        <v>19</v>
      </c>
      <c r="B178" s="2">
        <v>200</v>
      </c>
      <c r="C178" s="1">
        <v>200</v>
      </c>
      <c r="D178" s="1" t="s">
        <v>593</v>
      </c>
      <c r="E178" s="1">
        <v>13</v>
      </c>
      <c r="F178" s="3">
        <v>1026</v>
      </c>
      <c r="G178" s="1">
        <v>4</v>
      </c>
      <c r="H178" s="1" t="s">
        <v>594</v>
      </c>
      <c r="I178" s="1" t="s">
        <v>595</v>
      </c>
      <c r="J178" s="1" t="s">
        <v>16</v>
      </c>
      <c r="K178" s="1" t="s">
        <v>584</v>
      </c>
      <c r="L178" s="1" t="s">
        <v>565</v>
      </c>
      <c r="M178">
        <f t="shared" si="14"/>
        <v>200</v>
      </c>
      <c r="N178" t="str">
        <f t="shared" si="15"/>
        <v>1951-12-02</v>
      </c>
      <c r="O178">
        <f t="shared" si="16"/>
        <v>60</v>
      </c>
      <c r="P178" t="str">
        <f t="shared" si="17"/>
        <v>kobieta</v>
      </c>
      <c r="Q178">
        <f t="shared" si="18"/>
        <v>55</v>
      </c>
      <c r="R178">
        <f t="shared" si="19"/>
        <v>48</v>
      </c>
      <c r="S178">
        <f t="shared" ca="1" si="20"/>
        <v>3</v>
      </c>
    </row>
    <row r="179" spans="1:19">
      <c r="A179" s="1" t="s">
        <v>19</v>
      </c>
      <c r="B179" s="2">
        <v>700</v>
      </c>
      <c r="C179" s="1">
        <v>700</v>
      </c>
      <c r="D179" s="1" t="s">
        <v>596</v>
      </c>
      <c r="E179" s="1">
        <v>13</v>
      </c>
      <c r="F179" s="3">
        <v>1400</v>
      </c>
      <c r="G179" s="1">
        <v>0</v>
      </c>
      <c r="H179" s="1" t="s">
        <v>597</v>
      </c>
      <c r="I179" s="1" t="s">
        <v>136</v>
      </c>
      <c r="J179" s="1" t="s">
        <v>16</v>
      </c>
      <c r="K179" s="1" t="s">
        <v>584</v>
      </c>
      <c r="L179" s="1" t="s">
        <v>158</v>
      </c>
      <c r="M179">
        <f t="shared" si="14"/>
        <v>700</v>
      </c>
      <c r="N179" t="str">
        <f t="shared" si="15"/>
        <v>1952-03-12</v>
      </c>
      <c r="O179">
        <f t="shared" si="16"/>
        <v>59</v>
      </c>
      <c r="P179" t="str">
        <f t="shared" si="17"/>
        <v>kobieta</v>
      </c>
      <c r="Q179">
        <f t="shared" si="18"/>
        <v>246</v>
      </c>
      <c r="R179">
        <f t="shared" si="19"/>
        <v>48</v>
      </c>
      <c r="S179">
        <f t="shared" ca="1" si="20"/>
        <v>0</v>
      </c>
    </row>
    <row r="180" spans="1:19">
      <c r="A180" s="1" t="s">
        <v>19</v>
      </c>
      <c r="B180" s="2">
        <v>500</v>
      </c>
      <c r="C180" s="1">
        <v>500</v>
      </c>
      <c r="D180" s="1" t="s">
        <v>598</v>
      </c>
      <c r="E180" s="1">
        <v>13</v>
      </c>
      <c r="F180" s="3">
        <v>1536</v>
      </c>
      <c r="G180" s="1">
        <v>0</v>
      </c>
      <c r="H180" s="1" t="s">
        <v>599</v>
      </c>
      <c r="I180" s="1" t="s">
        <v>600</v>
      </c>
      <c r="J180" s="1" t="s">
        <v>16</v>
      </c>
      <c r="K180" s="1" t="s">
        <v>584</v>
      </c>
      <c r="L180" s="1" t="s">
        <v>592</v>
      </c>
      <c r="M180">
        <f t="shared" si="14"/>
        <v>500</v>
      </c>
      <c r="N180" t="str">
        <f t="shared" si="15"/>
        <v>1937-09-11</v>
      </c>
      <c r="O180">
        <f t="shared" si="16"/>
        <v>74</v>
      </c>
      <c r="P180" t="str">
        <f t="shared" si="17"/>
        <v>kobieta</v>
      </c>
      <c r="Q180">
        <f t="shared" si="18"/>
        <v>36</v>
      </c>
      <c r="R180">
        <f t="shared" si="19"/>
        <v>48</v>
      </c>
      <c r="S180">
        <f t="shared" ca="1" si="20"/>
        <v>4</v>
      </c>
    </row>
    <row r="181" spans="1:19">
      <c r="A181" s="1" t="s">
        <v>19</v>
      </c>
      <c r="B181" s="2">
        <v>395.77</v>
      </c>
      <c r="C181" s="1">
        <v>395.77</v>
      </c>
      <c r="D181" s="1" t="s">
        <v>601</v>
      </c>
      <c r="E181" s="1">
        <v>13</v>
      </c>
      <c r="F181" s="3">
        <v>1668</v>
      </c>
      <c r="G181" s="1">
        <v>5</v>
      </c>
      <c r="H181" s="1" t="s">
        <v>602</v>
      </c>
      <c r="I181" s="1" t="s">
        <v>242</v>
      </c>
      <c r="J181" s="1" t="s">
        <v>16</v>
      </c>
      <c r="K181" s="1" t="s">
        <v>584</v>
      </c>
      <c r="L181" s="1" t="s">
        <v>285</v>
      </c>
      <c r="M181">
        <f t="shared" si="14"/>
        <v>395.77</v>
      </c>
      <c r="N181" t="str">
        <f t="shared" si="15"/>
        <v>1948-07-31</v>
      </c>
      <c r="O181">
        <f t="shared" si="16"/>
        <v>63</v>
      </c>
      <c r="P181" t="str">
        <f t="shared" si="17"/>
        <v>kobieta</v>
      </c>
      <c r="Q181">
        <f t="shared" si="18"/>
        <v>91</v>
      </c>
      <c r="R181">
        <f t="shared" si="19"/>
        <v>48</v>
      </c>
      <c r="S181">
        <f t="shared" ca="1" si="20"/>
        <v>1</v>
      </c>
    </row>
    <row r="182" spans="1:19">
      <c r="A182" s="1" t="s">
        <v>24</v>
      </c>
      <c r="B182" s="2">
        <v>300</v>
      </c>
      <c r="C182" s="1">
        <v>0</v>
      </c>
      <c r="D182" s="1" t="s">
        <v>603</v>
      </c>
      <c r="E182" s="1">
        <v>13</v>
      </c>
      <c r="F182" s="3">
        <v>935</v>
      </c>
      <c r="G182" s="1">
        <v>0</v>
      </c>
      <c r="H182" s="1" t="s">
        <v>604</v>
      </c>
      <c r="I182" s="1" t="s">
        <v>605</v>
      </c>
      <c r="J182" s="1" t="s">
        <v>16</v>
      </c>
      <c r="K182" s="1" t="s">
        <v>16</v>
      </c>
      <c r="L182" s="1" t="s">
        <v>28</v>
      </c>
      <c r="M182">
        <f t="shared" si="14"/>
        <v>300</v>
      </c>
      <c r="N182" t="str">
        <f t="shared" si="15"/>
        <v>1945-02-05</v>
      </c>
      <c r="O182">
        <f t="shared" si="16"/>
        <v>66</v>
      </c>
      <c r="P182" t="str">
        <f t="shared" si="17"/>
        <v>kobieta</v>
      </c>
      <c r="Q182">
        <f t="shared" si="18"/>
        <v>132</v>
      </c>
      <c r="R182">
        <f t="shared" si="19"/>
        <v>48</v>
      </c>
      <c r="S182">
        <f t="shared" ca="1" si="20"/>
        <v>0</v>
      </c>
    </row>
    <row r="183" spans="1:19">
      <c r="A183" s="1" t="s">
        <v>19</v>
      </c>
      <c r="B183" s="2">
        <v>700</v>
      </c>
      <c r="C183" s="1">
        <v>700</v>
      </c>
      <c r="D183" s="1" t="s">
        <v>606</v>
      </c>
      <c r="E183" s="1">
        <v>13</v>
      </c>
      <c r="F183" s="3">
        <v>1872</v>
      </c>
      <c r="G183" s="1">
        <v>5</v>
      </c>
      <c r="H183" s="1" t="s">
        <v>607</v>
      </c>
      <c r="I183" s="1" t="s">
        <v>608</v>
      </c>
      <c r="J183" s="1" t="s">
        <v>16</v>
      </c>
      <c r="K183" s="1" t="s">
        <v>584</v>
      </c>
      <c r="L183" s="1" t="s">
        <v>565</v>
      </c>
      <c r="M183">
        <f t="shared" si="14"/>
        <v>700</v>
      </c>
      <c r="N183" t="str">
        <f t="shared" si="15"/>
        <v>1953-06-21</v>
      </c>
      <c r="O183">
        <f t="shared" si="16"/>
        <v>58</v>
      </c>
      <c r="P183" t="str">
        <f t="shared" si="17"/>
        <v>kobieta</v>
      </c>
      <c r="Q183">
        <f t="shared" si="18"/>
        <v>35</v>
      </c>
      <c r="R183">
        <f t="shared" si="19"/>
        <v>48</v>
      </c>
      <c r="S183">
        <f t="shared" ca="1" si="20"/>
        <v>3</v>
      </c>
    </row>
    <row r="184" spans="1:19">
      <c r="A184" s="1" t="s">
        <v>19</v>
      </c>
      <c r="B184" s="2">
        <v>500</v>
      </c>
      <c r="C184" s="1">
        <v>500</v>
      </c>
      <c r="D184" s="1" t="s">
        <v>609</v>
      </c>
      <c r="E184" s="1">
        <v>11</v>
      </c>
      <c r="F184" s="3">
        <v>2327.94</v>
      </c>
      <c r="G184" s="1">
        <v>1</v>
      </c>
      <c r="H184" s="1" t="s">
        <v>610</v>
      </c>
      <c r="I184" s="1" t="s">
        <v>611</v>
      </c>
      <c r="J184" s="1" t="s">
        <v>16</v>
      </c>
      <c r="K184" s="1" t="s">
        <v>584</v>
      </c>
      <c r="L184" s="1" t="s">
        <v>442</v>
      </c>
      <c r="M184">
        <f t="shared" si="14"/>
        <v>500</v>
      </c>
      <c r="N184" t="str">
        <f t="shared" si="15"/>
        <v>1987-05-09</v>
      </c>
      <c r="O184">
        <f t="shared" si="16"/>
        <v>24</v>
      </c>
      <c r="P184" t="str">
        <f t="shared" si="17"/>
        <v>mężczyzna</v>
      </c>
      <c r="Q184">
        <f t="shared" si="18"/>
        <v>35</v>
      </c>
      <c r="R184">
        <f t="shared" si="19"/>
        <v>48</v>
      </c>
      <c r="S184">
        <f t="shared" ca="1" si="20"/>
        <v>5</v>
      </c>
    </row>
    <row r="185" spans="1:19">
      <c r="A185" s="1" t="s">
        <v>19</v>
      </c>
      <c r="B185" s="2">
        <v>200</v>
      </c>
      <c r="C185" s="1">
        <v>200</v>
      </c>
      <c r="D185" s="1" t="s">
        <v>612</v>
      </c>
      <c r="E185" s="1">
        <v>13</v>
      </c>
      <c r="F185" s="3">
        <v>865</v>
      </c>
      <c r="G185" s="1">
        <v>5</v>
      </c>
      <c r="H185" s="1" t="s">
        <v>613</v>
      </c>
      <c r="I185" s="1" t="s">
        <v>614</v>
      </c>
      <c r="J185" s="1" t="s">
        <v>16</v>
      </c>
      <c r="K185" s="1" t="s">
        <v>584</v>
      </c>
      <c r="L185" s="1" t="s">
        <v>285</v>
      </c>
      <c r="M185">
        <f t="shared" si="14"/>
        <v>200</v>
      </c>
      <c r="N185" t="str">
        <f t="shared" si="15"/>
        <v>1941-03-18</v>
      </c>
      <c r="O185">
        <f t="shared" si="16"/>
        <v>70</v>
      </c>
      <c r="P185" t="str">
        <f t="shared" si="17"/>
        <v>kobieta</v>
      </c>
      <c r="Q185">
        <f t="shared" si="18"/>
        <v>128</v>
      </c>
      <c r="R185">
        <f t="shared" si="19"/>
        <v>48</v>
      </c>
      <c r="S185">
        <f t="shared" ca="1" si="20"/>
        <v>1</v>
      </c>
    </row>
    <row r="186" spans="1:19">
      <c r="A186" s="1" t="s">
        <v>19</v>
      </c>
      <c r="B186" s="2">
        <v>500</v>
      </c>
      <c r="C186" s="1">
        <v>500</v>
      </c>
      <c r="D186" s="1" t="s">
        <v>615</v>
      </c>
      <c r="E186" s="1">
        <v>11</v>
      </c>
      <c r="F186" s="3">
        <v>2400</v>
      </c>
      <c r="G186" s="1">
        <v>4</v>
      </c>
      <c r="H186" s="1" t="s">
        <v>616</v>
      </c>
      <c r="I186" s="1" t="s">
        <v>617</v>
      </c>
      <c r="J186" s="1" t="s">
        <v>16</v>
      </c>
      <c r="K186" s="1" t="s">
        <v>584</v>
      </c>
      <c r="L186" s="1" t="s">
        <v>565</v>
      </c>
      <c r="M186">
        <f t="shared" si="14"/>
        <v>500</v>
      </c>
      <c r="N186" t="str">
        <f t="shared" si="15"/>
        <v>1976-01-11</v>
      </c>
      <c r="O186">
        <f t="shared" si="16"/>
        <v>35</v>
      </c>
      <c r="P186" t="str">
        <f t="shared" si="17"/>
        <v>kobieta</v>
      </c>
      <c r="Q186">
        <f t="shared" si="18"/>
        <v>113</v>
      </c>
      <c r="R186">
        <f t="shared" si="19"/>
        <v>48</v>
      </c>
      <c r="S186">
        <f t="shared" ca="1" si="20"/>
        <v>3</v>
      </c>
    </row>
    <row r="187" spans="1:19">
      <c r="A187" s="1" t="s">
        <v>19</v>
      </c>
      <c r="B187" s="2">
        <v>300</v>
      </c>
      <c r="C187" s="1">
        <v>300</v>
      </c>
      <c r="D187" s="1" t="s">
        <v>618</v>
      </c>
      <c r="E187" s="1">
        <v>11</v>
      </c>
      <c r="F187" s="3">
        <v>992.84</v>
      </c>
      <c r="G187" s="1">
        <v>5</v>
      </c>
      <c r="H187" s="1" t="s">
        <v>619</v>
      </c>
      <c r="I187" s="1" t="s">
        <v>620</v>
      </c>
      <c r="J187" s="1" t="s">
        <v>16</v>
      </c>
      <c r="K187" s="1" t="s">
        <v>584</v>
      </c>
      <c r="L187" s="1" t="s">
        <v>158</v>
      </c>
      <c r="M187">
        <f t="shared" si="14"/>
        <v>300</v>
      </c>
      <c r="N187" t="str">
        <f t="shared" si="15"/>
        <v>1962-06-21</v>
      </c>
      <c r="O187">
        <f t="shared" si="16"/>
        <v>49</v>
      </c>
      <c r="P187" t="str">
        <f t="shared" si="17"/>
        <v>kobieta</v>
      </c>
      <c r="Q187">
        <f t="shared" si="18"/>
        <v>121</v>
      </c>
      <c r="R187">
        <f t="shared" si="19"/>
        <v>48</v>
      </c>
      <c r="S187">
        <f t="shared" ca="1" si="20"/>
        <v>0</v>
      </c>
    </row>
    <row r="188" spans="1:19">
      <c r="A188" s="1" t="s">
        <v>19</v>
      </c>
      <c r="B188" s="2">
        <v>200</v>
      </c>
      <c r="C188" s="1">
        <v>200</v>
      </c>
      <c r="D188" s="1" t="s">
        <v>621</v>
      </c>
      <c r="E188" s="1">
        <v>13</v>
      </c>
      <c r="F188" s="3">
        <v>992.96</v>
      </c>
      <c r="G188" s="1">
        <v>1</v>
      </c>
      <c r="H188" s="1" t="s">
        <v>622</v>
      </c>
      <c r="I188" s="1" t="s">
        <v>623</v>
      </c>
      <c r="J188" s="1" t="s">
        <v>16</v>
      </c>
      <c r="K188" s="1" t="s">
        <v>584</v>
      </c>
      <c r="L188" s="1" t="s">
        <v>158</v>
      </c>
      <c r="M188">
        <f t="shared" si="14"/>
        <v>200</v>
      </c>
      <c r="N188" t="str">
        <f t="shared" si="15"/>
        <v>1950-02-28</v>
      </c>
      <c r="O188">
        <f t="shared" si="16"/>
        <v>61</v>
      </c>
      <c r="P188" t="str">
        <f t="shared" si="17"/>
        <v>kobieta</v>
      </c>
      <c r="Q188">
        <f t="shared" si="18"/>
        <v>12</v>
      </c>
      <c r="R188">
        <f t="shared" si="19"/>
        <v>48</v>
      </c>
      <c r="S188">
        <f t="shared" ca="1" si="20"/>
        <v>0</v>
      </c>
    </row>
    <row r="189" spans="1:19">
      <c r="A189" s="1" t="s">
        <v>19</v>
      </c>
      <c r="B189" s="2">
        <v>300</v>
      </c>
      <c r="C189" s="1">
        <v>300</v>
      </c>
      <c r="D189" s="1" t="s">
        <v>624</v>
      </c>
      <c r="E189" s="1">
        <v>11</v>
      </c>
      <c r="F189" s="3">
        <v>1000</v>
      </c>
      <c r="G189" s="1">
        <v>5</v>
      </c>
      <c r="H189" s="1" t="s">
        <v>625</v>
      </c>
      <c r="I189" s="1" t="s">
        <v>626</v>
      </c>
      <c r="J189" s="1" t="s">
        <v>16</v>
      </c>
      <c r="K189" s="1" t="s">
        <v>627</v>
      </c>
      <c r="L189" s="1" t="s">
        <v>285</v>
      </c>
      <c r="M189">
        <f t="shared" si="14"/>
        <v>300</v>
      </c>
      <c r="N189" t="str">
        <f t="shared" si="15"/>
        <v>1981-10-06</v>
      </c>
      <c r="O189">
        <f t="shared" si="16"/>
        <v>30</v>
      </c>
      <c r="P189" t="str">
        <f t="shared" si="17"/>
        <v>mężczyzna</v>
      </c>
      <c r="Q189">
        <f t="shared" si="18"/>
        <v>57</v>
      </c>
      <c r="R189">
        <f t="shared" si="19"/>
        <v>48</v>
      </c>
      <c r="S189">
        <f t="shared" ca="1" si="20"/>
        <v>0</v>
      </c>
    </row>
    <row r="190" spans="1:19">
      <c r="A190" s="1" t="s">
        <v>19</v>
      </c>
      <c r="B190" s="2">
        <v>400</v>
      </c>
      <c r="C190" s="1">
        <v>300</v>
      </c>
      <c r="D190" s="1" t="s">
        <v>628</v>
      </c>
      <c r="E190" s="1">
        <v>12</v>
      </c>
      <c r="F190" s="3">
        <v>1000</v>
      </c>
      <c r="G190" s="1">
        <v>0</v>
      </c>
      <c r="H190" s="1" t="s">
        <v>629</v>
      </c>
      <c r="I190" s="1" t="s">
        <v>630</v>
      </c>
      <c r="J190" s="1" t="s">
        <v>631</v>
      </c>
      <c r="K190" s="1" t="s">
        <v>627</v>
      </c>
      <c r="L190" s="1" t="s">
        <v>285</v>
      </c>
      <c r="M190">
        <f t="shared" si="14"/>
        <v>300</v>
      </c>
      <c r="N190" t="str">
        <f t="shared" si="15"/>
        <v>1957-02-18</v>
      </c>
      <c r="O190">
        <f t="shared" si="16"/>
        <v>54</v>
      </c>
      <c r="P190" t="str">
        <f t="shared" si="17"/>
        <v>kobieta</v>
      </c>
      <c r="Q190">
        <f t="shared" si="18"/>
        <v>45</v>
      </c>
      <c r="R190">
        <f t="shared" si="19"/>
        <v>24</v>
      </c>
      <c r="S190">
        <f t="shared" ca="1" si="20"/>
        <v>0</v>
      </c>
    </row>
    <row r="191" spans="1:19">
      <c r="A191" s="1" t="s">
        <v>19</v>
      </c>
      <c r="B191" s="2">
        <v>300</v>
      </c>
      <c r="C191" s="1">
        <v>300</v>
      </c>
      <c r="D191" s="1" t="s">
        <v>632</v>
      </c>
      <c r="E191" s="1">
        <v>98</v>
      </c>
      <c r="F191" s="3">
        <v>911</v>
      </c>
      <c r="G191" s="1">
        <v>5</v>
      </c>
      <c r="H191" s="1" t="s">
        <v>633</v>
      </c>
      <c r="I191" s="1" t="s">
        <v>634</v>
      </c>
      <c r="J191" s="1" t="s">
        <v>16</v>
      </c>
      <c r="K191" s="1" t="s">
        <v>627</v>
      </c>
      <c r="L191" s="1" t="s">
        <v>565</v>
      </c>
      <c r="M191">
        <f t="shared" si="14"/>
        <v>300</v>
      </c>
      <c r="N191" t="str">
        <f t="shared" si="15"/>
        <v>1965-04-24</v>
      </c>
      <c r="O191">
        <f t="shared" si="16"/>
        <v>46</v>
      </c>
      <c r="P191" t="str">
        <f t="shared" si="17"/>
        <v>kobieta</v>
      </c>
      <c r="Q191">
        <f t="shared" si="18"/>
        <v>98</v>
      </c>
      <c r="R191">
        <f t="shared" si="19"/>
        <v>48</v>
      </c>
      <c r="S191">
        <f t="shared" ca="1" si="20"/>
        <v>2</v>
      </c>
    </row>
    <row r="192" spans="1:19">
      <c r="A192" s="1" t="s">
        <v>19</v>
      </c>
      <c r="B192" s="2">
        <v>200</v>
      </c>
      <c r="C192" s="1">
        <v>200</v>
      </c>
      <c r="D192" s="1" t="s">
        <v>635</v>
      </c>
      <c r="E192" s="1">
        <v>12</v>
      </c>
      <c r="F192" s="3">
        <v>1865</v>
      </c>
      <c r="G192" s="1">
        <v>2</v>
      </c>
      <c r="H192" s="1" t="s">
        <v>636</v>
      </c>
      <c r="I192" s="1" t="s">
        <v>637</v>
      </c>
      <c r="J192" s="1" t="s">
        <v>207</v>
      </c>
      <c r="K192" s="1" t="s">
        <v>627</v>
      </c>
      <c r="L192" s="1" t="s">
        <v>638</v>
      </c>
      <c r="M192">
        <f t="shared" si="14"/>
        <v>200</v>
      </c>
      <c r="N192" t="str">
        <f t="shared" si="15"/>
        <v>1980-02-07</v>
      </c>
      <c r="O192">
        <f t="shared" si="16"/>
        <v>31</v>
      </c>
      <c r="P192" t="str">
        <f t="shared" si="17"/>
        <v>kobieta</v>
      </c>
      <c r="Q192">
        <f t="shared" si="18"/>
        <v>20</v>
      </c>
      <c r="R192">
        <f t="shared" si="19"/>
        <v>1</v>
      </c>
      <c r="S192">
        <f t="shared" ca="1" si="20"/>
        <v>11</v>
      </c>
    </row>
    <row r="193" spans="1:19">
      <c r="A193" s="1" t="s">
        <v>19</v>
      </c>
      <c r="B193" s="2">
        <v>500</v>
      </c>
      <c r="C193" s="1">
        <v>500</v>
      </c>
      <c r="D193" s="1" t="s">
        <v>639</v>
      </c>
      <c r="E193" s="1">
        <v>11</v>
      </c>
      <c r="F193" s="3">
        <v>2100</v>
      </c>
      <c r="G193" s="1">
        <v>4</v>
      </c>
      <c r="H193" s="1" t="s">
        <v>640</v>
      </c>
      <c r="I193" s="1" t="s">
        <v>641</v>
      </c>
      <c r="J193" s="1" t="s">
        <v>16</v>
      </c>
      <c r="K193" s="1" t="s">
        <v>627</v>
      </c>
      <c r="L193" s="1" t="s">
        <v>285</v>
      </c>
      <c r="M193">
        <f t="shared" si="14"/>
        <v>500</v>
      </c>
      <c r="N193" t="str">
        <f t="shared" si="15"/>
        <v>1951-08-31</v>
      </c>
      <c r="O193">
        <f t="shared" si="16"/>
        <v>60</v>
      </c>
      <c r="P193" t="str">
        <f t="shared" si="17"/>
        <v>mężczyzna</v>
      </c>
      <c r="Q193">
        <f t="shared" si="18"/>
        <v>187</v>
      </c>
      <c r="R193">
        <f t="shared" si="19"/>
        <v>48</v>
      </c>
      <c r="S193">
        <f t="shared" ca="1" si="20"/>
        <v>0</v>
      </c>
    </row>
    <row r="194" spans="1:19">
      <c r="A194" s="1" t="s">
        <v>19</v>
      </c>
      <c r="B194" s="2">
        <v>200</v>
      </c>
      <c r="C194" s="1">
        <v>200</v>
      </c>
      <c r="D194" s="1" t="s">
        <v>642</v>
      </c>
      <c r="E194" s="1">
        <v>13</v>
      </c>
      <c r="F194" s="3">
        <v>984</v>
      </c>
      <c r="G194" s="1">
        <v>0</v>
      </c>
      <c r="H194" s="1" t="s">
        <v>643</v>
      </c>
      <c r="I194" s="1" t="s">
        <v>644</v>
      </c>
      <c r="J194" s="1" t="s">
        <v>16</v>
      </c>
      <c r="K194" s="1" t="s">
        <v>627</v>
      </c>
      <c r="L194" s="1" t="s">
        <v>158</v>
      </c>
      <c r="M194">
        <f t="shared" si="14"/>
        <v>200</v>
      </c>
      <c r="N194" t="str">
        <f t="shared" si="15"/>
        <v>1950-07-18</v>
      </c>
      <c r="O194">
        <f t="shared" si="16"/>
        <v>61</v>
      </c>
      <c r="P194" t="str">
        <f t="shared" si="17"/>
        <v>kobieta</v>
      </c>
      <c r="Q194">
        <f t="shared" si="18"/>
        <v>11</v>
      </c>
      <c r="R194">
        <f t="shared" si="19"/>
        <v>48</v>
      </c>
      <c r="S194">
        <f t="shared" ca="1" si="20"/>
        <v>0</v>
      </c>
    </row>
    <row r="195" spans="1:19">
      <c r="A195" s="1" t="s">
        <v>19</v>
      </c>
      <c r="B195" s="2">
        <v>200</v>
      </c>
      <c r="C195" s="1">
        <v>200</v>
      </c>
      <c r="D195" s="1" t="s">
        <v>645</v>
      </c>
      <c r="E195" s="1">
        <v>99</v>
      </c>
      <c r="F195" s="3">
        <v>780</v>
      </c>
      <c r="G195" s="1">
        <v>1</v>
      </c>
      <c r="H195" s="1" t="s">
        <v>646</v>
      </c>
      <c r="I195" s="1" t="s">
        <v>647</v>
      </c>
      <c r="J195" s="1" t="s">
        <v>353</v>
      </c>
      <c r="K195" s="1" t="s">
        <v>627</v>
      </c>
      <c r="L195" s="1" t="s">
        <v>158</v>
      </c>
      <c r="M195">
        <f t="shared" ref="M195:M258" si="21">IF(A195="odmowa", B195,C195)</f>
        <v>200</v>
      </c>
      <c r="N195" t="str">
        <f t="shared" ref="N195:N258" si="22">CONCATENATE("19", MID(D195, 1, 2), "-", MID(D195, 3, 2), "-", MID(D195, 5, 2))</f>
        <v>1954-12-19</v>
      </c>
      <c r="O195">
        <f t="shared" ref="O195:O258" si="23">YEAR(H195) - YEAR(N195)</f>
        <v>57</v>
      </c>
      <c r="P195" t="str">
        <f t="shared" ref="P195:P258" si="24">IF(MOD(MID(D195, 10, 1), 2)=0, "kobieta", "mężczyzna")</f>
        <v>kobieta</v>
      </c>
      <c r="Q195">
        <f t="shared" ref="Q195:Q258" si="25">(YEAR(H195) - YEAR(I195)) * 12 + MONTH(H195) - MONTH(I195)</f>
        <v>1</v>
      </c>
      <c r="R195">
        <f t="shared" ref="R195:R258" si="26">IF(LEFT(J195, 4)="0000", 48, MIN(48, (YEAR(J195) - YEAR(H195)) * 12 + MONTH(J195) - MONTH(H195)))</f>
        <v>2</v>
      </c>
      <c r="S195">
        <f t="shared" ref="S195:S258" ca="1" si="27">IF(LEFT(K195, 4)="0000", 0, IF(LEFT(L195, 4)="0000", MAX(0, TODAY() - K195), MAX(0, L195 - K195)))</f>
        <v>0</v>
      </c>
    </row>
    <row r="196" spans="1:19">
      <c r="A196" s="1" t="s">
        <v>19</v>
      </c>
      <c r="B196" s="2">
        <v>500</v>
      </c>
      <c r="C196" s="1">
        <v>500</v>
      </c>
      <c r="D196" s="1" t="s">
        <v>648</v>
      </c>
      <c r="E196" s="1">
        <v>13</v>
      </c>
      <c r="F196" s="3">
        <v>815</v>
      </c>
      <c r="G196" s="1">
        <v>0</v>
      </c>
      <c r="H196" s="1" t="s">
        <v>649</v>
      </c>
      <c r="I196" s="1" t="s">
        <v>650</v>
      </c>
      <c r="J196" s="1" t="s">
        <v>16</v>
      </c>
      <c r="K196" s="1" t="s">
        <v>627</v>
      </c>
      <c r="L196" s="1" t="s">
        <v>651</v>
      </c>
      <c r="M196">
        <f t="shared" si="21"/>
        <v>500</v>
      </c>
      <c r="N196" t="str">
        <f t="shared" si="22"/>
        <v>1944-09-12</v>
      </c>
      <c r="O196">
        <f t="shared" si="23"/>
        <v>67</v>
      </c>
      <c r="P196" t="str">
        <f t="shared" si="24"/>
        <v>kobieta</v>
      </c>
      <c r="Q196">
        <f t="shared" si="25"/>
        <v>144</v>
      </c>
      <c r="R196">
        <f t="shared" si="26"/>
        <v>48</v>
      </c>
      <c r="S196">
        <f t="shared" ca="1" si="27"/>
        <v>7</v>
      </c>
    </row>
    <row r="197" spans="1:19">
      <c r="A197" s="1" t="s">
        <v>19</v>
      </c>
      <c r="B197" s="2">
        <v>450</v>
      </c>
      <c r="C197" s="1">
        <v>400</v>
      </c>
      <c r="D197" s="1" t="s">
        <v>652</v>
      </c>
      <c r="E197" s="1">
        <v>11</v>
      </c>
      <c r="F197" s="3">
        <v>1058</v>
      </c>
      <c r="G197" s="1">
        <v>0</v>
      </c>
      <c r="H197" s="1" t="s">
        <v>653</v>
      </c>
      <c r="I197" s="1" t="s">
        <v>151</v>
      </c>
      <c r="J197" s="1" t="s">
        <v>16</v>
      </c>
      <c r="K197" s="1" t="s">
        <v>627</v>
      </c>
      <c r="L197" s="1" t="s">
        <v>285</v>
      </c>
      <c r="M197">
        <f t="shared" si="21"/>
        <v>400</v>
      </c>
      <c r="N197" t="str">
        <f t="shared" si="22"/>
        <v>1976-10-05</v>
      </c>
      <c r="O197">
        <f t="shared" si="23"/>
        <v>35</v>
      </c>
      <c r="P197" t="str">
        <f t="shared" si="24"/>
        <v>mężczyzna</v>
      </c>
      <c r="Q197">
        <f t="shared" si="25"/>
        <v>14</v>
      </c>
      <c r="R197">
        <f t="shared" si="26"/>
        <v>48</v>
      </c>
      <c r="S197">
        <f t="shared" ca="1" si="27"/>
        <v>0</v>
      </c>
    </row>
    <row r="198" spans="1:19">
      <c r="A198" s="1" t="s">
        <v>12</v>
      </c>
      <c r="B198" s="2">
        <v>300</v>
      </c>
      <c r="C198" s="1">
        <v>300</v>
      </c>
      <c r="D198" s="1" t="s">
        <v>654</v>
      </c>
      <c r="E198" s="1">
        <v>13</v>
      </c>
      <c r="F198" s="3">
        <v>1244.77</v>
      </c>
      <c r="G198" s="1">
        <v>5</v>
      </c>
      <c r="H198" s="1" t="s">
        <v>655</v>
      </c>
      <c r="I198" s="1" t="s">
        <v>93</v>
      </c>
      <c r="J198" s="1" t="s">
        <v>16</v>
      </c>
      <c r="K198" s="1" t="s">
        <v>656</v>
      </c>
      <c r="L198" s="1" t="s">
        <v>657</v>
      </c>
      <c r="M198">
        <f t="shared" si="21"/>
        <v>300</v>
      </c>
      <c r="N198" t="str">
        <f t="shared" si="22"/>
        <v>1953-02-03</v>
      </c>
      <c r="O198">
        <f t="shared" si="23"/>
        <v>58</v>
      </c>
      <c r="P198" t="str">
        <f t="shared" si="24"/>
        <v>kobieta</v>
      </c>
      <c r="Q198">
        <f t="shared" si="25"/>
        <v>39</v>
      </c>
      <c r="R198">
        <f t="shared" si="26"/>
        <v>48</v>
      </c>
      <c r="S198">
        <f t="shared" ca="1" si="27"/>
        <v>14</v>
      </c>
    </row>
    <row r="199" spans="1:19">
      <c r="A199" s="1" t="s">
        <v>12</v>
      </c>
      <c r="B199" s="2">
        <v>416.61</v>
      </c>
      <c r="C199" s="1">
        <v>416.61</v>
      </c>
      <c r="D199" s="1" t="s">
        <v>658</v>
      </c>
      <c r="E199" s="1">
        <v>11</v>
      </c>
      <c r="F199" s="3">
        <v>2011</v>
      </c>
      <c r="G199" s="1">
        <v>0</v>
      </c>
      <c r="H199" s="1" t="s">
        <v>659</v>
      </c>
      <c r="I199" s="1" t="s">
        <v>660</v>
      </c>
      <c r="J199" s="1" t="s">
        <v>16</v>
      </c>
      <c r="K199" s="1" t="s">
        <v>656</v>
      </c>
      <c r="L199" s="1" t="s">
        <v>211</v>
      </c>
      <c r="M199">
        <f t="shared" si="21"/>
        <v>416.61</v>
      </c>
      <c r="N199" t="str">
        <f t="shared" si="22"/>
        <v>1959-07-09</v>
      </c>
      <c r="O199">
        <f t="shared" si="23"/>
        <v>52</v>
      </c>
      <c r="P199" t="str">
        <f t="shared" si="24"/>
        <v>mężczyzna</v>
      </c>
      <c r="Q199">
        <f t="shared" si="25"/>
        <v>211</v>
      </c>
      <c r="R199">
        <f t="shared" si="26"/>
        <v>48</v>
      </c>
      <c r="S199">
        <f t="shared" ca="1" si="27"/>
        <v>0</v>
      </c>
    </row>
    <row r="200" spans="1:19">
      <c r="A200" s="1" t="s">
        <v>19</v>
      </c>
      <c r="B200" s="2">
        <v>300</v>
      </c>
      <c r="C200" s="1">
        <v>300</v>
      </c>
      <c r="D200" s="1" t="s">
        <v>661</v>
      </c>
      <c r="E200" s="1">
        <v>12</v>
      </c>
      <c r="F200" s="3">
        <v>1038.68</v>
      </c>
      <c r="G200" s="1">
        <v>1</v>
      </c>
      <c r="H200" s="1" t="s">
        <v>662</v>
      </c>
      <c r="I200" s="1" t="s">
        <v>663</v>
      </c>
      <c r="J200" s="1" t="s">
        <v>246</v>
      </c>
      <c r="K200" s="1" t="s">
        <v>656</v>
      </c>
      <c r="L200" s="1" t="s">
        <v>565</v>
      </c>
      <c r="M200">
        <f t="shared" si="21"/>
        <v>300</v>
      </c>
      <c r="N200" t="str">
        <f t="shared" si="22"/>
        <v>1965-11-28</v>
      </c>
      <c r="O200">
        <f t="shared" si="23"/>
        <v>46</v>
      </c>
      <c r="P200" t="str">
        <f t="shared" si="24"/>
        <v>kobieta</v>
      </c>
      <c r="Q200">
        <f t="shared" si="25"/>
        <v>21</v>
      </c>
      <c r="R200">
        <f t="shared" si="26"/>
        <v>5</v>
      </c>
      <c r="S200">
        <f t="shared" ca="1" si="27"/>
        <v>0</v>
      </c>
    </row>
    <row r="201" spans="1:19">
      <c r="A201" s="1" t="s">
        <v>12</v>
      </c>
      <c r="B201" s="2">
        <v>800</v>
      </c>
      <c r="C201" s="1">
        <v>650</v>
      </c>
      <c r="D201" s="1" t="s">
        <v>664</v>
      </c>
      <c r="E201" s="1">
        <v>13</v>
      </c>
      <c r="F201" s="3">
        <v>1519</v>
      </c>
      <c r="G201" s="1">
        <v>0</v>
      </c>
      <c r="H201" s="1" t="s">
        <v>665</v>
      </c>
      <c r="I201" s="1" t="s">
        <v>666</v>
      </c>
      <c r="J201" s="1" t="s">
        <v>16</v>
      </c>
      <c r="K201" s="1" t="s">
        <v>656</v>
      </c>
      <c r="L201" s="1" t="s">
        <v>35</v>
      </c>
      <c r="M201">
        <f t="shared" si="21"/>
        <v>650</v>
      </c>
      <c r="N201" t="str">
        <f t="shared" si="22"/>
        <v>1933-07-29</v>
      </c>
      <c r="O201">
        <f t="shared" si="23"/>
        <v>78</v>
      </c>
      <c r="P201" t="str">
        <f t="shared" si="24"/>
        <v>mężczyzna</v>
      </c>
      <c r="Q201">
        <f t="shared" si="25"/>
        <v>254</v>
      </c>
      <c r="R201">
        <f t="shared" si="26"/>
        <v>48</v>
      </c>
      <c r="S201">
        <f t="shared" ca="1" si="27"/>
        <v>0</v>
      </c>
    </row>
    <row r="202" spans="1:19">
      <c r="A202" s="1" t="s">
        <v>19</v>
      </c>
      <c r="B202" s="2">
        <v>200</v>
      </c>
      <c r="C202" s="1">
        <v>200</v>
      </c>
      <c r="D202" s="1" t="s">
        <v>667</v>
      </c>
      <c r="E202" s="1">
        <v>16</v>
      </c>
      <c r="F202" s="3">
        <v>749.28</v>
      </c>
      <c r="G202" s="1">
        <v>5</v>
      </c>
      <c r="H202" s="1" t="s">
        <v>668</v>
      </c>
      <c r="I202" s="1" t="s">
        <v>669</v>
      </c>
      <c r="J202" s="1" t="s">
        <v>16</v>
      </c>
      <c r="K202" s="1" t="s">
        <v>656</v>
      </c>
      <c r="L202" s="1" t="s">
        <v>670</v>
      </c>
      <c r="M202">
        <f t="shared" si="21"/>
        <v>200</v>
      </c>
      <c r="N202" t="str">
        <f t="shared" si="22"/>
        <v>1958-05-27</v>
      </c>
      <c r="O202">
        <f t="shared" si="23"/>
        <v>53</v>
      </c>
      <c r="P202" t="str">
        <f t="shared" si="24"/>
        <v>kobieta</v>
      </c>
      <c r="Q202">
        <f t="shared" si="25"/>
        <v>65</v>
      </c>
      <c r="R202">
        <f t="shared" si="26"/>
        <v>48</v>
      </c>
      <c r="S202">
        <f t="shared" ca="1" si="27"/>
        <v>3</v>
      </c>
    </row>
    <row r="203" spans="1:19">
      <c r="A203" s="1" t="s">
        <v>19</v>
      </c>
      <c r="B203" s="2">
        <v>399.66</v>
      </c>
      <c r="C203" s="1">
        <v>399.66</v>
      </c>
      <c r="D203" s="1" t="s">
        <v>671</v>
      </c>
      <c r="E203" s="1">
        <v>11</v>
      </c>
      <c r="F203" s="3">
        <v>1239.05</v>
      </c>
      <c r="G203" s="1">
        <v>2</v>
      </c>
      <c r="H203" s="1" t="s">
        <v>672</v>
      </c>
      <c r="I203" s="1" t="s">
        <v>673</v>
      </c>
      <c r="J203" s="1" t="s">
        <v>16</v>
      </c>
      <c r="K203" s="1" t="s">
        <v>656</v>
      </c>
      <c r="L203" s="1" t="s">
        <v>215</v>
      </c>
      <c r="M203">
        <f t="shared" si="21"/>
        <v>399.66</v>
      </c>
      <c r="N203" t="str">
        <f t="shared" si="22"/>
        <v>1972-07-09</v>
      </c>
      <c r="O203">
        <f t="shared" si="23"/>
        <v>39</v>
      </c>
      <c r="P203" t="str">
        <f t="shared" si="24"/>
        <v>kobieta</v>
      </c>
      <c r="Q203">
        <f t="shared" si="25"/>
        <v>204</v>
      </c>
      <c r="R203">
        <f t="shared" si="26"/>
        <v>48</v>
      </c>
      <c r="S203">
        <f t="shared" ca="1" si="27"/>
        <v>8</v>
      </c>
    </row>
    <row r="204" spans="1:19">
      <c r="A204" s="1" t="s">
        <v>19</v>
      </c>
      <c r="B204" s="2">
        <v>347.63</v>
      </c>
      <c r="C204" s="1">
        <v>347.63</v>
      </c>
      <c r="D204" s="1" t="s">
        <v>674</v>
      </c>
      <c r="E204" s="1">
        <v>13</v>
      </c>
      <c r="F204" s="3">
        <v>1500</v>
      </c>
      <c r="G204" s="1">
        <v>5</v>
      </c>
      <c r="H204" s="1" t="s">
        <v>675</v>
      </c>
      <c r="I204" s="1" t="s">
        <v>676</v>
      </c>
      <c r="J204" s="1" t="s">
        <v>16</v>
      </c>
      <c r="K204" s="1" t="s">
        <v>656</v>
      </c>
      <c r="L204" s="1" t="s">
        <v>677</v>
      </c>
      <c r="M204">
        <f t="shared" si="21"/>
        <v>347.63</v>
      </c>
      <c r="N204" t="str">
        <f t="shared" si="22"/>
        <v>1950-08-06</v>
      </c>
      <c r="O204">
        <f t="shared" si="23"/>
        <v>61</v>
      </c>
      <c r="P204" t="str">
        <f t="shared" si="24"/>
        <v>mężczyzna</v>
      </c>
      <c r="Q204">
        <f t="shared" si="25"/>
        <v>23</v>
      </c>
      <c r="R204">
        <f t="shared" si="26"/>
        <v>48</v>
      </c>
      <c r="S204">
        <f t="shared" ca="1" si="27"/>
        <v>7</v>
      </c>
    </row>
    <row r="205" spans="1:19">
      <c r="A205" s="1" t="s">
        <v>19</v>
      </c>
      <c r="B205" s="2">
        <v>479.15</v>
      </c>
      <c r="C205" s="1">
        <v>479.15</v>
      </c>
      <c r="D205" s="1" t="s">
        <v>678</v>
      </c>
      <c r="E205" s="1">
        <v>11</v>
      </c>
      <c r="F205" s="3">
        <v>1250</v>
      </c>
      <c r="G205" s="1">
        <v>0</v>
      </c>
      <c r="H205" s="1" t="s">
        <v>679</v>
      </c>
      <c r="I205" s="1" t="s">
        <v>680</v>
      </c>
      <c r="J205" s="1" t="s">
        <v>16</v>
      </c>
      <c r="K205" s="1" t="s">
        <v>656</v>
      </c>
      <c r="L205" s="1" t="s">
        <v>380</v>
      </c>
      <c r="M205">
        <f t="shared" si="21"/>
        <v>479.15</v>
      </c>
      <c r="N205" t="str">
        <f t="shared" si="22"/>
        <v>1950-01-28</v>
      </c>
      <c r="O205">
        <f t="shared" si="23"/>
        <v>61</v>
      </c>
      <c r="P205" t="str">
        <f t="shared" si="24"/>
        <v>mężczyzna</v>
      </c>
      <c r="Q205">
        <f t="shared" si="25"/>
        <v>65</v>
      </c>
      <c r="R205">
        <f t="shared" si="26"/>
        <v>48</v>
      </c>
      <c r="S205">
        <f t="shared" ca="1" si="27"/>
        <v>4</v>
      </c>
    </row>
    <row r="206" spans="1:19">
      <c r="A206" s="1" t="s">
        <v>19</v>
      </c>
      <c r="B206" s="2">
        <v>292.57</v>
      </c>
      <c r="C206" s="1">
        <v>292.57</v>
      </c>
      <c r="D206" s="1" t="s">
        <v>681</v>
      </c>
      <c r="E206" s="1">
        <v>11</v>
      </c>
      <c r="F206" s="3">
        <v>2100</v>
      </c>
      <c r="G206" s="1">
        <v>2</v>
      </c>
      <c r="H206" s="1" t="s">
        <v>682</v>
      </c>
      <c r="I206" s="1" t="s">
        <v>683</v>
      </c>
      <c r="J206" s="1" t="s">
        <v>16</v>
      </c>
      <c r="K206" s="1" t="s">
        <v>656</v>
      </c>
      <c r="L206" s="1" t="s">
        <v>442</v>
      </c>
      <c r="M206">
        <f t="shared" si="21"/>
        <v>292.57</v>
      </c>
      <c r="N206" t="str">
        <f t="shared" si="22"/>
        <v>1957-01-09</v>
      </c>
      <c r="O206">
        <f t="shared" si="23"/>
        <v>54</v>
      </c>
      <c r="P206" t="str">
        <f t="shared" si="24"/>
        <v>mężczyzna</v>
      </c>
      <c r="Q206">
        <f t="shared" si="25"/>
        <v>38</v>
      </c>
      <c r="R206">
        <f t="shared" si="26"/>
        <v>48</v>
      </c>
      <c r="S206">
        <f t="shared" ca="1" si="27"/>
        <v>2</v>
      </c>
    </row>
    <row r="207" spans="1:19">
      <c r="A207" s="1" t="s">
        <v>19</v>
      </c>
      <c r="B207" s="2">
        <v>300</v>
      </c>
      <c r="C207" s="1">
        <v>300</v>
      </c>
      <c r="D207" s="1" t="s">
        <v>684</v>
      </c>
      <c r="E207" s="1">
        <v>13</v>
      </c>
      <c r="F207" s="3">
        <v>1167.94</v>
      </c>
      <c r="G207" s="1">
        <v>0</v>
      </c>
      <c r="H207" s="1" t="s">
        <v>685</v>
      </c>
      <c r="I207" s="1" t="s">
        <v>686</v>
      </c>
      <c r="J207" s="1" t="s">
        <v>16</v>
      </c>
      <c r="K207" s="1" t="s">
        <v>656</v>
      </c>
      <c r="L207" s="1" t="s">
        <v>592</v>
      </c>
      <c r="M207">
        <f t="shared" si="21"/>
        <v>300</v>
      </c>
      <c r="N207" t="str">
        <f t="shared" si="22"/>
        <v>1932-04-05</v>
      </c>
      <c r="O207">
        <f t="shared" si="23"/>
        <v>79</v>
      </c>
      <c r="P207" t="str">
        <f t="shared" si="24"/>
        <v>kobieta</v>
      </c>
      <c r="Q207">
        <f t="shared" si="25"/>
        <v>369</v>
      </c>
      <c r="R207">
        <f t="shared" si="26"/>
        <v>48</v>
      </c>
      <c r="S207">
        <f t="shared" ca="1" si="27"/>
        <v>1</v>
      </c>
    </row>
    <row r="208" spans="1:19">
      <c r="A208" s="1" t="s">
        <v>19</v>
      </c>
      <c r="B208" s="2">
        <v>275.97000000000003</v>
      </c>
      <c r="C208" s="1">
        <v>275.97000000000003</v>
      </c>
      <c r="D208" s="1" t="s">
        <v>687</v>
      </c>
      <c r="E208" s="1">
        <v>11</v>
      </c>
      <c r="F208" s="3">
        <v>1000</v>
      </c>
      <c r="G208" s="1">
        <v>0</v>
      </c>
      <c r="H208" s="1" t="s">
        <v>688</v>
      </c>
      <c r="I208" s="1" t="s">
        <v>689</v>
      </c>
      <c r="J208" s="1" t="s">
        <v>16</v>
      </c>
      <c r="K208" s="1" t="s">
        <v>656</v>
      </c>
      <c r="L208" s="1" t="s">
        <v>380</v>
      </c>
      <c r="M208">
        <f t="shared" si="21"/>
        <v>275.97000000000003</v>
      </c>
      <c r="N208" t="str">
        <f t="shared" si="22"/>
        <v>1970-08-10</v>
      </c>
      <c r="O208">
        <f t="shared" si="23"/>
        <v>41</v>
      </c>
      <c r="P208" t="str">
        <f t="shared" si="24"/>
        <v>kobieta</v>
      </c>
      <c r="Q208">
        <f t="shared" si="25"/>
        <v>61</v>
      </c>
      <c r="R208">
        <f t="shared" si="26"/>
        <v>48</v>
      </c>
      <c r="S208">
        <f t="shared" ca="1" si="27"/>
        <v>4</v>
      </c>
    </row>
    <row r="209" spans="1:19">
      <c r="A209" s="1" t="s">
        <v>24</v>
      </c>
      <c r="B209" s="2">
        <v>500</v>
      </c>
      <c r="C209" s="1">
        <v>0</v>
      </c>
      <c r="D209" s="1" t="s">
        <v>690</v>
      </c>
      <c r="E209" s="1">
        <v>12</v>
      </c>
      <c r="F209" s="3">
        <v>2100</v>
      </c>
      <c r="G209" s="1">
        <v>0</v>
      </c>
      <c r="H209" s="1" t="s">
        <v>691</v>
      </c>
      <c r="I209" s="1" t="s">
        <v>431</v>
      </c>
      <c r="J209" s="1" t="s">
        <v>129</v>
      </c>
      <c r="K209" s="1" t="s">
        <v>16</v>
      </c>
      <c r="L209" s="1" t="s">
        <v>28</v>
      </c>
      <c r="M209">
        <f t="shared" si="21"/>
        <v>500</v>
      </c>
      <c r="N209" t="str">
        <f t="shared" si="22"/>
        <v>1975-04-01</v>
      </c>
      <c r="O209">
        <f t="shared" si="23"/>
        <v>36</v>
      </c>
      <c r="P209" t="str">
        <f t="shared" si="24"/>
        <v>mężczyzna</v>
      </c>
      <c r="Q209">
        <f t="shared" si="25"/>
        <v>6</v>
      </c>
      <c r="R209">
        <f t="shared" si="26"/>
        <v>26</v>
      </c>
      <c r="S209">
        <f t="shared" ca="1" si="27"/>
        <v>0</v>
      </c>
    </row>
    <row r="210" spans="1:19">
      <c r="A210" s="1" t="s">
        <v>19</v>
      </c>
      <c r="B210" s="2">
        <v>500</v>
      </c>
      <c r="C210" s="1">
        <v>500</v>
      </c>
      <c r="D210" s="1" t="s">
        <v>692</v>
      </c>
      <c r="E210" s="1">
        <v>17</v>
      </c>
      <c r="F210" s="3">
        <v>990</v>
      </c>
      <c r="G210" s="1">
        <v>1</v>
      </c>
      <c r="H210" s="1" t="s">
        <v>693</v>
      </c>
      <c r="I210" s="1" t="s">
        <v>694</v>
      </c>
      <c r="J210" s="1" t="s">
        <v>695</v>
      </c>
      <c r="K210" s="1" t="s">
        <v>656</v>
      </c>
      <c r="L210" s="1" t="s">
        <v>442</v>
      </c>
      <c r="M210">
        <f t="shared" si="21"/>
        <v>500</v>
      </c>
      <c r="N210" t="str">
        <f t="shared" si="22"/>
        <v>1961-01-31</v>
      </c>
      <c r="O210">
        <f t="shared" si="23"/>
        <v>50</v>
      </c>
      <c r="P210" t="str">
        <f t="shared" si="24"/>
        <v>kobieta</v>
      </c>
      <c r="Q210">
        <f t="shared" si="25"/>
        <v>72</v>
      </c>
      <c r="R210">
        <f t="shared" si="26"/>
        <v>13</v>
      </c>
      <c r="S210">
        <f t="shared" ca="1" si="27"/>
        <v>2</v>
      </c>
    </row>
    <row r="211" spans="1:19">
      <c r="A211" s="1" t="s">
        <v>12</v>
      </c>
      <c r="B211" s="2">
        <v>200</v>
      </c>
      <c r="C211" s="1">
        <v>200</v>
      </c>
      <c r="D211" s="1" t="s">
        <v>696</v>
      </c>
      <c r="E211" s="1">
        <v>11</v>
      </c>
      <c r="F211" s="3">
        <v>1300</v>
      </c>
      <c r="G211" s="1">
        <v>5</v>
      </c>
      <c r="H211" s="1" t="s">
        <v>697</v>
      </c>
      <c r="I211" s="1" t="s">
        <v>561</v>
      </c>
      <c r="J211" s="1" t="s">
        <v>16</v>
      </c>
      <c r="K211" s="1" t="s">
        <v>656</v>
      </c>
      <c r="L211" s="1" t="s">
        <v>285</v>
      </c>
      <c r="M211">
        <f t="shared" si="21"/>
        <v>200</v>
      </c>
      <c r="N211" t="str">
        <f t="shared" si="22"/>
        <v>1972-02-20</v>
      </c>
      <c r="O211">
        <f t="shared" si="23"/>
        <v>39</v>
      </c>
      <c r="P211" t="str">
        <f t="shared" si="24"/>
        <v>mężczyzna</v>
      </c>
      <c r="Q211">
        <f t="shared" si="25"/>
        <v>45</v>
      </c>
      <c r="R211">
        <f t="shared" si="26"/>
        <v>48</v>
      </c>
      <c r="S211">
        <f t="shared" ca="1" si="27"/>
        <v>0</v>
      </c>
    </row>
    <row r="212" spans="1:19">
      <c r="A212" s="1" t="s">
        <v>12</v>
      </c>
      <c r="B212" s="2">
        <v>500</v>
      </c>
      <c r="C212" s="1">
        <v>500</v>
      </c>
      <c r="D212" s="1" t="s">
        <v>698</v>
      </c>
      <c r="E212" s="1">
        <v>11</v>
      </c>
      <c r="F212" s="3">
        <v>2080</v>
      </c>
      <c r="G212" s="1">
        <v>1</v>
      </c>
      <c r="H212" s="1" t="s">
        <v>699</v>
      </c>
      <c r="I212" s="1" t="s">
        <v>700</v>
      </c>
      <c r="J212" s="1" t="s">
        <v>16</v>
      </c>
      <c r="K212" s="1" t="s">
        <v>656</v>
      </c>
      <c r="L212" s="1" t="s">
        <v>442</v>
      </c>
      <c r="M212">
        <f t="shared" si="21"/>
        <v>500</v>
      </c>
      <c r="N212" t="str">
        <f t="shared" si="22"/>
        <v>1958-10-06</v>
      </c>
      <c r="O212">
        <f t="shared" si="23"/>
        <v>53</v>
      </c>
      <c r="P212" t="str">
        <f t="shared" si="24"/>
        <v>mężczyzna</v>
      </c>
      <c r="Q212">
        <f t="shared" si="25"/>
        <v>318</v>
      </c>
      <c r="R212">
        <f t="shared" si="26"/>
        <v>48</v>
      </c>
      <c r="S212">
        <f t="shared" ca="1" si="27"/>
        <v>2</v>
      </c>
    </row>
    <row r="213" spans="1:19">
      <c r="A213" s="1" t="s">
        <v>19</v>
      </c>
      <c r="B213" s="2">
        <v>200</v>
      </c>
      <c r="C213" s="1">
        <v>200</v>
      </c>
      <c r="D213" s="1" t="s">
        <v>701</v>
      </c>
      <c r="E213" s="1">
        <v>16</v>
      </c>
      <c r="F213" s="3">
        <v>1045</v>
      </c>
      <c r="G213" s="1">
        <v>4</v>
      </c>
      <c r="H213" s="1" t="s">
        <v>702</v>
      </c>
      <c r="I213" s="1" t="s">
        <v>703</v>
      </c>
      <c r="J213" s="1" t="s">
        <v>16</v>
      </c>
      <c r="K213" s="1" t="s">
        <v>207</v>
      </c>
      <c r="L213" s="1" t="s">
        <v>442</v>
      </c>
      <c r="M213">
        <f t="shared" si="21"/>
        <v>200</v>
      </c>
      <c r="N213" t="str">
        <f t="shared" si="22"/>
        <v>1961-06-04</v>
      </c>
      <c r="O213">
        <f t="shared" si="23"/>
        <v>50</v>
      </c>
      <c r="P213" t="str">
        <f t="shared" si="24"/>
        <v>mężczyzna</v>
      </c>
      <c r="Q213">
        <f t="shared" si="25"/>
        <v>199</v>
      </c>
      <c r="R213">
        <f t="shared" si="26"/>
        <v>48</v>
      </c>
      <c r="S213">
        <f t="shared" ca="1" si="27"/>
        <v>0</v>
      </c>
    </row>
    <row r="214" spans="1:19">
      <c r="A214" s="1" t="s">
        <v>19</v>
      </c>
      <c r="B214" s="2">
        <v>400</v>
      </c>
      <c r="C214" s="1">
        <v>400</v>
      </c>
      <c r="D214" s="1" t="s">
        <v>704</v>
      </c>
      <c r="E214" s="1">
        <v>16</v>
      </c>
      <c r="F214" s="3">
        <v>1473.04</v>
      </c>
      <c r="G214" s="1">
        <v>2</v>
      </c>
      <c r="H214" s="1" t="s">
        <v>705</v>
      </c>
      <c r="I214" s="1" t="s">
        <v>706</v>
      </c>
      <c r="J214" s="1" t="s">
        <v>16</v>
      </c>
      <c r="K214" s="1" t="s">
        <v>207</v>
      </c>
      <c r="L214" s="1" t="s">
        <v>670</v>
      </c>
      <c r="M214">
        <f t="shared" si="21"/>
        <v>400</v>
      </c>
      <c r="N214" t="str">
        <f t="shared" si="22"/>
        <v>1946-09-02</v>
      </c>
      <c r="O214">
        <f t="shared" si="23"/>
        <v>65</v>
      </c>
      <c r="P214" t="str">
        <f t="shared" si="24"/>
        <v>mężczyzna</v>
      </c>
      <c r="Q214">
        <f t="shared" si="25"/>
        <v>165</v>
      </c>
      <c r="R214">
        <f t="shared" si="26"/>
        <v>48</v>
      </c>
      <c r="S214">
        <f t="shared" ca="1" si="27"/>
        <v>1</v>
      </c>
    </row>
    <row r="215" spans="1:19">
      <c r="A215" s="1" t="s">
        <v>19</v>
      </c>
      <c r="B215" s="2">
        <v>300</v>
      </c>
      <c r="C215" s="1">
        <v>300</v>
      </c>
      <c r="D215" s="1" t="s">
        <v>707</v>
      </c>
      <c r="E215" s="1">
        <v>13</v>
      </c>
      <c r="F215" s="3">
        <v>1426</v>
      </c>
      <c r="G215" s="1">
        <v>5</v>
      </c>
      <c r="H215" s="1" t="s">
        <v>708</v>
      </c>
      <c r="I215" s="1" t="s">
        <v>709</v>
      </c>
      <c r="J215" s="1" t="s">
        <v>16</v>
      </c>
      <c r="K215" s="1" t="s">
        <v>207</v>
      </c>
      <c r="L215" s="1" t="s">
        <v>442</v>
      </c>
      <c r="M215">
        <f t="shared" si="21"/>
        <v>300</v>
      </c>
      <c r="N215" t="str">
        <f t="shared" si="22"/>
        <v>1940-08-08</v>
      </c>
      <c r="O215">
        <f t="shared" si="23"/>
        <v>71</v>
      </c>
      <c r="P215" t="str">
        <f t="shared" si="24"/>
        <v>mężczyzna</v>
      </c>
      <c r="Q215">
        <f t="shared" si="25"/>
        <v>77</v>
      </c>
      <c r="R215">
        <f t="shared" si="26"/>
        <v>48</v>
      </c>
      <c r="S215">
        <f t="shared" ca="1" si="27"/>
        <v>0</v>
      </c>
    </row>
    <row r="216" spans="1:19">
      <c r="A216" s="1" t="s">
        <v>19</v>
      </c>
      <c r="B216" s="2">
        <v>200</v>
      </c>
      <c r="C216" s="1">
        <v>200</v>
      </c>
      <c r="D216" s="1" t="s">
        <v>710</v>
      </c>
      <c r="E216" s="1">
        <v>98</v>
      </c>
      <c r="F216" s="3">
        <v>980</v>
      </c>
      <c r="G216" s="1">
        <v>4</v>
      </c>
      <c r="H216" s="1" t="s">
        <v>711</v>
      </c>
      <c r="I216" s="1" t="s">
        <v>712</v>
      </c>
      <c r="J216" s="1" t="s">
        <v>16</v>
      </c>
      <c r="K216" s="1" t="s">
        <v>207</v>
      </c>
      <c r="L216" s="1" t="s">
        <v>442</v>
      </c>
      <c r="M216">
        <f t="shared" si="21"/>
        <v>200</v>
      </c>
      <c r="N216" t="str">
        <f t="shared" si="22"/>
        <v>1955-08-26</v>
      </c>
      <c r="O216">
        <f t="shared" si="23"/>
        <v>56</v>
      </c>
      <c r="P216" t="str">
        <f t="shared" si="24"/>
        <v>kobieta</v>
      </c>
      <c r="Q216">
        <f t="shared" si="25"/>
        <v>10</v>
      </c>
      <c r="R216">
        <f t="shared" si="26"/>
        <v>48</v>
      </c>
      <c r="S216">
        <f t="shared" ca="1" si="27"/>
        <v>0</v>
      </c>
    </row>
    <row r="217" spans="1:19">
      <c r="A217" s="1" t="s">
        <v>19</v>
      </c>
      <c r="B217" s="2">
        <v>299.27999999999997</v>
      </c>
      <c r="C217" s="1">
        <v>299.27999999999997</v>
      </c>
      <c r="D217" s="1" t="s">
        <v>713</v>
      </c>
      <c r="E217" s="1">
        <v>11</v>
      </c>
      <c r="F217" s="3">
        <v>1400</v>
      </c>
      <c r="G217" s="1">
        <v>1</v>
      </c>
      <c r="H217" s="1" t="s">
        <v>714</v>
      </c>
      <c r="I217" s="1" t="s">
        <v>234</v>
      </c>
      <c r="J217" s="1" t="s">
        <v>16</v>
      </c>
      <c r="K217" s="1" t="s">
        <v>207</v>
      </c>
      <c r="L217" s="1" t="s">
        <v>442</v>
      </c>
      <c r="M217">
        <f t="shared" si="21"/>
        <v>299.27999999999997</v>
      </c>
      <c r="N217" t="str">
        <f t="shared" si="22"/>
        <v>1959-07-27</v>
      </c>
      <c r="O217">
        <f t="shared" si="23"/>
        <v>52</v>
      </c>
      <c r="P217" t="str">
        <f t="shared" si="24"/>
        <v>kobieta</v>
      </c>
      <c r="Q217">
        <f t="shared" si="25"/>
        <v>161</v>
      </c>
      <c r="R217">
        <f t="shared" si="26"/>
        <v>48</v>
      </c>
      <c r="S217">
        <f t="shared" ca="1" si="27"/>
        <v>0</v>
      </c>
    </row>
    <row r="218" spans="1:19">
      <c r="A218" s="1" t="s">
        <v>12</v>
      </c>
      <c r="B218" s="2">
        <v>300</v>
      </c>
      <c r="C218" s="1">
        <v>300</v>
      </c>
      <c r="D218" s="1" t="s">
        <v>715</v>
      </c>
      <c r="E218" s="1">
        <v>12</v>
      </c>
      <c r="F218" s="3">
        <v>670</v>
      </c>
      <c r="G218" s="1">
        <v>5</v>
      </c>
      <c r="H218" s="1" t="s">
        <v>716</v>
      </c>
      <c r="I218" s="1" t="s">
        <v>717</v>
      </c>
      <c r="J218" s="1" t="s">
        <v>63</v>
      </c>
      <c r="K218" s="1" t="s">
        <v>207</v>
      </c>
      <c r="L218" s="1" t="s">
        <v>442</v>
      </c>
      <c r="M218">
        <f t="shared" si="21"/>
        <v>300</v>
      </c>
      <c r="N218" t="str">
        <f t="shared" si="22"/>
        <v>1966-04-01</v>
      </c>
      <c r="O218">
        <f t="shared" si="23"/>
        <v>45</v>
      </c>
      <c r="P218" t="str">
        <f t="shared" si="24"/>
        <v>mężczyzna</v>
      </c>
      <c r="Q218">
        <f t="shared" si="25"/>
        <v>9</v>
      </c>
      <c r="R218">
        <f t="shared" si="26"/>
        <v>2</v>
      </c>
      <c r="S218">
        <f t="shared" ca="1" si="27"/>
        <v>0</v>
      </c>
    </row>
    <row r="219" spans="1:19">
      <c r="A219" s="1" t="s">
        <v>19</v>
      </c>
      <c r="B219" s="2">
        <v>300</v>
      </c>
      <c r="C219" s="1">
        <v>300</v>
      </c>
      <c r="D219" s="1" t="s">
        <v>718</v>
      </c>
      <c r="E219" s="1">
        <v>11</v>
      </c>
      <c r="F219" s="3">
        <v>1360</v>
      </c>
      <c r="G219" s="1">
        <v>1</v>
      </c>
      <c r="H219" s="1" t="s">
        <v>719</v>
      </c>
      <c r="I219" s="1" t="s">
        <v>720</v>
      </c>
      <c r="J219" s="1" t="s">
        <v>16</v>
      </c>
      <c r="K219" s="1" t="s">
        <v>207</v>
      </c>
      <c r="L219" s="1" t="s">
        <v>442</v>
      </c>
      <c r="M219">
        <f t="shared" si="21"/>
        <v>300</v>
      </c>
      <c r="N219" t="str">
        <f t="shared" si="22"/>
        <v>1965-03-18</v>
      </c>
      <c r="O219">
        <f t="shared" si="23"/>
        <v>46</v>
      </c>
      <c r="P219" t="str">
        <f t="shared" si="24"/>
        <v>mężczyzna</v>
      </c>
      <c r="Q219">
        <f t="shared" si="25"/>
        <v>120</v>
      </c>
      <c r="R219">
        <f t="shared" si="26"/>
        <v>48</v>
      </c>
      <c r="S219">
        <f t="shared" ca="1" si="27"/>
        <v>0</v>
      </c>
    </row>
    <row r="220" spans="1:19">
      <c r="A220" s="1" t="s">
        <v>24</v>
      </c>
      <c r="B220" s="2">
        <v>400</v>
      </c>
      <c r="C220" s="1">
        <v>0</v>
      </c>
      <c r="D220" s="1" t="s">
        <v>721</v>
      </c>
      <c r="E220" s="1">
        <v>11</v>
      </c>
      <c r="F220" s="3">
        <v>1850</v>
      </c>
      <c r="G220" s="1">
        <v>0</v>
      </c>
      <c r="H220" s="1" t="s">
        <v>722</v>
      </c>
      <c r="I220" s="1" t="s">
        <v>723</v>
      </c>
      <c r="J220" s="1" t="s">
        <v>16</v>
      </c>
      <c r="K220" s="1" t="s">
        <v>16</v>
      </c>
      <c r="L220" s="1" t="s">
        <v>28</v>
      </c>
      <c r="M220">
        <f t="shared" si="21"/>
        <v>400</v>
      </c>
      <c r="N220" t="str">
        <f t="shared" si="22"/>
        <v>1970-10-23</v>
      </c>
      <c r="O220">
        <f t="shared" si="23"/>
        <v>41</v>
      </c>
      <c r="P220" t="str">
        <f t="shared" si="24"/>
        <v>mężczyzna</v>
      </c>
      <c r="Q220">
        <f t="shared" si="25"/>
        <v>30</v>
      </c>
      <c r="R220">
        <f t="shared" si="26"/>
        <v>48</v>
      </c>
      <c r="S220">
        <f t="shared" ca="1" si="27"/>
        <v>0</v>
      </c>
    </row>
    <row r="221" spans="1:19">
      <c r="A221" s="1" t="s">
        <v>19</v>
      </c>
      <c r="B221" s="2">
        <v>200</v>
      </c>
      <c r="C221" s="1">
        <v>200</v>
      </c>
      <c r="D221" s="1" t="s">
        <v>724</v>
      </c>
      <c r="E221" s="1">
        <v>12</v>
      </c>
      <c r="F221" s="3">
        <v>1100</v>
      </c>
      <c r="G221" s="1">
        <v>0</v>
      </c>
      <c r="H221" s="1" t="s">
        <v>725</v>
      </c>
      <c r="I221" s="1" t="s">
        <v>726</v>
      </c>
      <c r="J221" s="1" t="s">
        <v>129</v>
      </c>
      <c r="K221" s="1" t="s">
        <v>207</v>
      </c>
      <c r="L221" s="1" t="s">
        <v>442</v>
      </c>
      <c r="M221">
        <f t="shared" si="21"/>
        <v>200</v>
      </c>
      <c r="N221" t="str">
        <f t="shared" si="22"/>
        <v>1985-12-22</v>
      </c>
      <c r="O221">
        <f t="shared" si="23"/>
        <v>26</v>
      </c>
      <c r="P221" t="str">
        <f t="shared" si="24"/>
        <v>mężczyzna</v>
      </c>
      <c r="Q221">
        <f t="shared" si="25"/>
        <v>33</v>
      </c>
      <c r="R221">
        <f t="shared" si="26"/>
        <v>26</v>
      </c>
      <c r="S221">
        <f t="shared" ca="1" si="27"/>
        <v>0</v>
      </c>
    </row>
    <row r="222" spans="1:19">
      <c r="A222" s="1" t="s">
        <v>19</v>
      </c>
      <c r="B222" s="2">
        <v>200</v>
      </c>
      <c r="C222" s="1">
        <v>200</v>
      </c>
      <c r="D222" s="1" t="s">
        <v>727</v>
      </c>
      <c r="E222" s="1">
        <v>12</v>
      </c>
      <c r="F222" s="3">
        <v>980</v>
      </c>
      <c r="G222" s="1">
        <v>5</v>
      </c>
      <c r="H222" s="1" t="s">
        <v>728</v>
      </c>
      <c r="I222" s="1" t="s">
        <v>729</v>
      </c>
      <c r="J222" s="1" t="s">
        <v>730</v>
      </c>
      <c r="K222" s="1" t="s">
        <v>207</v>
      </c>
      <c r="L222" s="1" t="s">
        <v>670</v>
      </c>
      <c r="M222">
        <f t="shared" si="21"/>
        <v>200</v>
      </c>
      <c r="N222" t="str">
        <f t="shared" si="22"/>
        <v>1980-11-12</v>
      </c>
      <c r="O222">
        <f t="shared" si="23"/>
        <v>31</v>
      </c>
      <c r="P222" t="str">
        <f t="shared" si="24"/>
        <v>kobieta</v>
      </c>
      <c r="Q222">
        <f t="shared" si="25"/>
        <v>10</v>
      </c>
      <c r="R222">
        <f t="shared" si="26"/>
        <v>5</v>
      </c>
      <c r="S222">
        <f t="shared" ca="1" si="27"/>
        <v>1</v>
      </c>
    </row>
    <row r="223" spans="1:19">
      <c r="A223" s="1" t="s">
        <v>19</v>
      </c>
      <c r="B223" s="2">
        <v>300</v>
      </c>
      <c r="C223" s="1">
        <v>300</v>
      </c>
      <c r="D223" s="1" t="s">
        <v>731</v>
      </c>
      <c r="E223" s="1">
        <v>13</v>
      </c>
      <c r="F223" s="3">
        <v>1100</v>
      </c>
      <c r="G223" s="1">
        <v>2</v>
      </c>
      <c r="H223" s="1" t="s">
        <v>732</v>
      </c>
      <c r="I223" s="1" t="s">
        <v>383</v>
      </c>
      <c r="J223" s="1" t="s">
        <v>16</v>
      </c>
      <c r="K223" s="1" t="s">
        <v>207</v>
      </c>
      <c r="L223" s="1" t="s">
        <v>442</v>
      </c>
      <c r="M223">
        <f t="shared" si="21"/>
        <v>300</v>
      </c>
      <c r="N223" t="str">
        <f t="shared" si="22"/>
        <v>1948-01-24</v>
      </c>
      <c r="O223">
        <f t="shared" si="23"/>
        <v>63</v>
      </c>
      <c r="P223" t="str">
        <f t="shared" si="24"/>
        <v>kobieta</v>
      </c>
      <c r="Q223">
        <f t="shared" si="25"/>
        <v>105</v>
      </c>
      <c r="R223">
        <f t="shared" si="26"/>
        <v>48</v>
      </c>
      <c r="S223">
        <f t="shared" ca="1" si="27"/>
        <v>0</v>
      </c>
    </row>
    <row r="224" spans="1:19">
      <c r="A224" s="1" t="s">
        <v>12</v>
      </c>
      <c r="B224" s="2">
        <v>200</v>
      </c>
      <c r="C224" s="1">
        <v>200</v>
      </c>
      <c r="D224" s="1" t="s">
        <v>733</v>
      </c>
      <c r="E224" s="1">
        <v>11</v>
      </c>
      <c r="F224" s="3">
        <v>967.64</v>
      </c>
      <c r="G224" s="1">
        <v>4</v>
      </c>
      <c r="H224" s="1" t="s">
        <v>734</v>
      </c>
      <c r="I224" s="1" t="s">
        <v>735</v>
      </c>
      <c r="J224" s="1" t="s">
        <v>16</v>
      </c>
      <c r="K224" s="1" t="s">
        <v>207</v>
      </c>
      <c r="L224" s="1" t="s">
        <v>736</v>
      </c>
      <c r="M224">
        <f t="shared" si="21"/>
        <v>200</v>
      </c>
      <c r="N224" t="str">
        <f t="shared" si="22"/>
        <v>1963-06-08</v>
      </c>
      <c r="O224">
        <f t="shared" si="23"/>
        <v>48</v>
      </c>
      <c r="P224" t="str">
        <f t="shared" si="24"/>
        <v>kobieta</v>
      </c>
      <c r="Q224">
        <f t="shared" si="25"/>
        <v>319</v>
      </c>
      <c r="R224">
        <f t="shared" si="26"/>
        <v>48</v>
      </c>
      <c r="S224">
        <f t="shared" ca="1" si="27"/>
        <v>302</v>
      </c>
    </row>
    <row r="225" spans="1:19">
      <c r="A225" s="1" t="s">
        <v>12</v>
      </c>
      <c r="B225" s="2">
        <v>500</v>
      </c>
      <c r="C225" s="1">
        <v>300</v>
      </c>
      <c r="D225" s="1" t="s">
        <v>737</v>
      </c>
      <c r="E225" s="1">
        <v>11</v>
      </c>
      <c r="F225" s="3">
        <v>1600</v>
      </c>
      <c r="G225" s="1">
        <v>0</v>
      </c>
      <c r="H225" s="1" t="s">
        <v>738</v>
      </c>
      <c r="I225" s="1" t="s">
        <v>739</v>
      </c>
      <c r="J225" s="1" t="s">
        <v>16</v>
      </c>
      <c r="K225" s="1" t="s">
        <v>207</v>
      </c>
      <c r="L225" s="1" t="s">
        <v>740</v>
      </c>
      <c r="M225">
        <f t="shared" si="21"/>
        <v>300</v>
      </c>
      <c r="N225" t="str">
        <f t="shared" si="22"/>
        <v>1963-03-27</v>
      </c>
      <c r="O225">
        <f t="shared" si="23"/>
        <v>48</v>
      </c>
      <c r="P225" t="str">
        <f t="shared" si="24"/>
        <v>mężczyzna</v>
      </c>
      <c r="Q225">
        <f t="shared" si="25"/>
        <v>342</v>
      </c>
      <c r="R225">
        <f t="shared" si="26"/>
        <v>48</v>
      </c>
      <c r="S225">
        <f t="shared" ca="1" si="27"/>
        <v>10</v>
      </c>
    </row>
    <row r="226" spans="1:19">
      <c r="A226" s="1" t="s">
        <v>19</v>
      </c>
      <c r="B226" s="2">
        <v>400</v>
      </c>
      <c r="C226" s="1">
        <v>400</v>
      </c>
      <c r="D226" s="1" t="s">
        <v>741</v>
      </c>
      <c r="E226" s="1">
        <v>12</v>
      </c>
      <c r="F226" s="3">
        <v>1000</v>
      </c>
      <c r="G226" s="1">
        <v>5</v>
      </c>
      <c r="H226" s="1" t="s">
        <v>742</v>
      </c>
      <c r="I226" s="1" t="s">
        <v>743</v>
      </c>
      <c r="J226" s="1" t="s">
        <v>63</v>
      </c>
      <c r="K226" s="1" t="s">
        <v>207</v>
      </c>
      <c r="L226" s="1" t="s">
        <v>380</v>
      </c>
      <c r="M226">
        <f t="shared" si="21"/>
        <v>400</v>
      </c>
      <c r="N226" t="str">
        <f t="shared" si="22"/>
        <v>1961-05-20</v>
      </c>
      <c r="O226">
        <f t="shared" si="23"/>
        <v>50</v>
      </c>
      <c r="P226" t="str">
        <f t="shared" si="24"/>
        <v>kobieta</v>
      </c>
      <c r="Q226">
        <f t="shared" si="25"/>
        <v>32</v>
      </c>
      <c r="R226">
        <f t="shared" si="26"/>
        <v>2</v>
      </c>
      <c r="S226">
        <f t="shared" ca="1" si="27"/>
        <v>2</v>
      </c>
    </row>
    <row r="227" spans="1:19">
      <c r="A227" s="1" t="s">
        <v>19</v>
      </c>
      <c r="B227" s="2">
        <v>400</v>
      </c>
      <c r="C227" s="1">
        <v>400</v>
      </c>
      <c r="D227" s="1" t="s">
        <v>744</v>
      </c>
      <c r="E227" s="1">
        <v>12</v>
      </c>
      <c r="F227" s="3">
        <v>1000</v>
      </c>
      <c r="G227" s="1">
        <v>5</v>
      </c>
      <c r="H227" s="1" t="s">
        <v>745</v>
      </c>
      <c r="I227" s="1" t="s">
        <v>395</v>
      </c>
      <c r="J227" s="1" t="s">
        <v>746</v>
      </c>
      <c r="K227" s="1" t="s">
        <v>207</v>
      </c>
      <c r="L227" s="1" t="s">
        <v>380</v>
      </c>
      <c r="M227">
        <f t="shared" si="21"/>
        <v>400</v>
      </c>
      <c r="N227" t="str">
        <f t="shared" si="22"/>
        <v>1951-04-12</v>
      </c>
      <c r="O227">
        <f t="shared" si="23"/>
        <v>60</v>
      </c>
      <c r="P227" t="str">
        <f t="shared" si="24"/>
        <v>mężczyzna</v>
      </c>
      <c r="Q227">
        <f t="shared" si="25"/>
        <v>12</v>
      </c>
      <c r="R227">
        <f t="shared" si="26"/>
        <v>2</v>
      </c>
      <c r="S227">
        <f t="shared" ca="1" si="27"/>
        <v>2</v>
      </c>
    </row>
    <row r="228" spans="1:19">
      <c r="A228" s="1" t="s">
        <v>19</v>
      </c>
      <c r="B228" s="2">
        <v>582</v>
      </c>
      <c r="C228" s="1">
        <v>582</v>
      </c>
      <c r="D228" s="1" t="s">
        <v>747</v>
      </c>
      <c r="E228" s="1">
        <v>13</v>
      </c>
      <c r="F228" s="3">
        <v>3700</v>
      </c>
      <c r="G228" s="1">
        <v>5</v>
      </c>
      <c r="H228" s="1" t="s">
        <v>748</v>
      </c>
      <c r="I228" s="1" t="s">
        <v>96</v>
      </c>
      <c r="J228" s="1" t="s">
        <v>16</v>
      </c>
      <c r="K228" s="1" t="s">
        <v>207</v>
      </c>
      <c r="L228" s="1" t="s">
        <v>442</v>
      </c>
      <c r="M228">
        <f t="shared" si="21"/>
        <v>582</v>
      </c>
      <c r="N228" t="str">
        <f t="shared" si="22"/>
        <v>1949-07-02</v>
      </c>
      <c r="O228">
        <f t="shared" si="23"/>
        <v>62</v>
      </c>
      <c r="P228" t="str">
        <f t="shared" si="24"/>
        <v>kobieta</v>
      </c>
      <c r="Q228">
        <f t="shared" si="25"/>
        <v>27</v>
      </c>
      <c r="R228">
        <f t="shared" si="26"/>
        <v>48</v>
      </c>
      <c r="S228">
        <f t="shared" ca="1" si="27"/>
        <v>0</v>
      </c>
    </row>
    <row r="229" spans="1:19">
      <c r="A229" s="1" t="s">
        <v>19</v>
      </c>
      <c r="B229" s="2">
        <v>600</v>
      </c>
      <c r="C229" s="1">
        <v>600</v>
      </c>
      <c r="D229" s="1" t="s">
        <v>749</v>
      </c>
      <c r="E229" s="1">
        <v>11</v>
      </c>
      <c r="F229" s="3">
        <v>3200</v>
      </c>
      <c r="G229" s="1">
        <v>5</v>
      </c>
      <c r="H229" s="1" t="s">
        <v>750</v>
      </c>
      <c r="I229" s="1" t="s">
        <v>751</v>
      </c>
      <c r="J229" s="1" t="s">
        <v>16</v>
      </c>
      <c r="K229" s="1" t="s">
        <v>207</v>
      </c>
      <c r="L229" s="1" t="s">
        <v>215</v>
      </c>
      <c r="M229">
        <f t="shared" si="21"/>
        <v>600</v>
      </c>
      <c r="N229" t="str">
        <f t="shared" si="22"/>
        <v>1960-12-10</v>
      </c>
      <c r="O229">
        <f t="shared" si="23"/>
        <v>51</v>
      </c>
      <c r="P229" t="str">
        <f t="shared" si="24"/>
        <v>kobieta</v>
      </c>
      <c r="Q229">
        <f t="shared" si="25"/>
        <v>54</v>
      </c>
      <c r="R229">
        <f t="shared" si="26"/>
        <v>48</v>
      </c>
      <c r="S229">
        <f t="shared" ca="1" si="27"/>
        <v>6</v>
      </c>
    </row>
    <row r="230" spans="1:19">
      <c r="A230" s="1" t="s">
        <v>24</v>
      </c>
      <c r="B230" s="2">
        <v>900</v>
      </c>
      <c r="C230" s="1">
        <v>0</v>
      </c>
      <c r="D230" s="1" t="s">
        <v>752</v>
      </c>
      <c r="E230" s="1">
        <v>12</v>
      </c>
      <c r="F230" s="3">
        <v>1428</v>
      </c>
      <c r="G230" s="1">
        <v>0</v>
      </c>
      <c r="H230" s="1" t="s">
        <v>753</v>
      </c>
      <c r="I230" s="1" t="s">
        <v>754</v>
      </c>
      <c r="J230" s="1" t="s">
        <v>755</v>
      </c>
      <c r="K230" s="1" t="s">
        <v>16</v>
      </c>
      <c r="L230" s="1" t="s">
        <v>28</v>
      </c>
      <c r="M230">
        <f t="shared" si="21"/>
        <v>900</v>
      </c>
      <c r="N230" t="str">
        <f t="shared" si="22"/>
        <v>1984-07-22</v>
      </c>
      <c r="O230">
        <f t="shared" si="23"/>
        <v>27</v>
      </c>
      <c r="P230" t="str">
        <f t="shared" si="24"/>
        <v>mężczyzna</v>
      </c>
      <c r="Q230">
        <f t="shared" si="25"/>
        <v>2</v>
      </c>
      <c r="R230">
        <f t="shared" si="26"/>
        <v>1</v>
      </c>
      <c r="S230">
        <f t="shared" ca="1" si="27"/>
        <v>0</v>
      </c>
    </row>
    <row r="231" spans="1:19">
      <c r="A231" s="1" t="s">
        <v>12</v>
      </c>
      <c r="B231" s="2">
        <v>300</v>
      </c>
      <c r="C231" s="1">
        <v>300</v>
      </c>
      <c r="D231" s="1" t="s">
        <v>756</v>
      </c>
      <c r="E231" s="1">
        <v>13</v>
      </c>
      <c r="F231" s="3">
        <v>1031</v>
      </c>
      <c r="G231" s="1">
        <v>1</v>
      </c>
      <c r="H231" s="1" t="s">
        <v>757</v>
      </c>
      <c r="I231" s="1" t="s">
        <v>319</v>
      </c>
      <c r="J231" s="1" t="s">
        <v>16</v>
      </c>
      <c r="K231" s="1" t="s">
        <v>758</v>
      </c>
      <c r="L231" s="1" t="s">
        <v>442</v>
      </c>
      <c r="M231">
        <f t="shared" si="21"/>
        <v>300</v>
      </c>
      <c r="N231" t="str">
        <f t="shared" si="22"/>
        <v>1945-08-16</v>
      </c>
      <c r="O231">
        <f t="shared" si="23"/>
        <v>66</v>
      </c>
      <c r="P231" t="str">
        <f t="shared" si="24"/>
        <v>kobieta</v>
      </c>
      <c r="Q231">
        <f t="shared" si="25"/>
        <v>122</v>
      </c>
      <c r="R231">
        <f t="shared" si="26"/>
        <v>48</v>
      </c>
      <c r="S231">
        <f t="shared" ca="1" si="27"/>
        <v>0</v>
      </c>
    </row>
    <row r="232" spans="1:19">
      <c r="A232" s="1" t="s">
        <v>19</v>
      </c>
      <c r="B232" s="2">
        <v>1000</v>
      </c>
      <c r="C232" s="1">
        <v>1000</v>
      </c>
      <c r="D232" s="1" t="s">
        <v>759</v>
      </c>
      <c r="E232" s="1">
        <v>13</v>
      </c>
      <c r="F232" s="3">
        <v>2291</v>
      </c>
      <c r="G232" s="1">
        <v>2</v>
      </c>
      <c r="H232" s="1" t="s">
        <v>760</v>
      </c>
      <c r="I232" s="1" t="s">
        <v>761</v>
      </c>
      <c r="J232" s="1" t="s">
        <v>16</v>
      </c>
      <c r="K232" s="1" t="s">
        <v>758</v>
      </c>
      <c r="L232" s="1" t="s">
        <v>18</v>
      </c>
      <c r="M232">
        <f t="shared" si="21"/>
        <v>1000</v>
      </c>
      <c r="N232" t="str">
        <f t="shared" si="22"/>
        <v>1942-02-01</v>
      </c>
      <c r="O232">
        <f t="shared" si="23"/>
        <v>69</v>
      </c>
      <c r="P232" t="str">
        <f t="shared" si="24"/>
        <v>kobieta</v>
      </c>
      <c r="Q232">
        <f t="shared" si="25"/>
        <v>72</v>
      </c>
      <c r="R232">
        <f t="shared" si="26"/>
        <v>48</v>
      </c>
      <c r="S232">
        <f t="shared" ca="1" si="27"/>
        <v>28</v>
      </c>
    </row>
    <row r="233" spans="1:19">
      <c r="A233" s="1" t="s">
        <v>19</v>
      </c>
      <c r="B233" s="2">
        <v>700</v>
      </c>
      <c r="C233" s="1">
        <v>700</v>
      </c>
      <c r="D233" s="1" t="s">
        <v>762</v>
      </c>
      <c r="E233" s="1">
        <v>13</v>
      </c>
      <c r="F233" s="3">
        <v>2066</v>
      </c>
      <c r="G233" s="1">
        <v>5</v>
      </c>
      <c r="H233" s="1" t="s">
        <v>763</v>
      </c>
      <c r="I233" s="1" t="s">
        <v>764</v>
      </c>
      <c r="J233" s="1" t="s">
        <v>16</v>
      </c>
      <c r="K233" s="1" t="s">
        <v>758</v>
      </c>
      <c r="L233" s="1" t="s">
        <v>677</v>
      </c>
      <c r="M233">
        <f t="shared" si="21"/>
        <v>700</v>
      </c>
      <c r="N233" t="str">
        <f t="shared" si="22"/>
        <v>1950-03-18</v>
      </c>
      <c r="O233">
        <f t="shared" si="23"/>
        <v>61</v>
      </c>
      <c r="P233" t="str">
        <f t="shared" si="24"/>
        <v>kobieta</v>
      </c>
      <c r="Q233">
        <f t="shared" si="25"/>
        <v>130</v>
      </c>
      <c r="R233">
        <f t="shared" si="26"/>
        <v>48</v>
      </c>
      <c r="S233">
        <f t="shared" ca="1" si="27"/>
        <v>3</v>
      </c>
    </row>
    <row r="234" spans="1:19">
      <c r="A234" s="1" t="s">
        <v>19</v>
      </c>
      <c r="B234" s="2">
        <v>500</v>
      </c>
      <c r="C234" s="1">
        <v>500</v>
      </c>
      <c r="D234" s="1" t="s">
        <v>765</v>
      </c>
      <c r="E234" s="1">
        <v>13</v>
      </c>
      <c r="F234" s="3">
        <v>1310</v>
      </c>
      <c r="G234" s="1">
        <v>1</v>
      </c>
      <c r="H234" s="1" t="s">
        <v>766</v>
      </c>
      <c r="I234" s="1" t="s">
        <v>31</v>
      </c>
      <c r="J234" s="1" t="s">
        <v>16</v>
      </c>
      <c r="K234" s="1" t="s">
        <v>758</v>
      </c>
      <c r="L234" s="1" t="s">
        <v>380</v>
      </c>
      <c r="M234">
        <f t="shared" si="21"/>
        <v>500</v>
      </c>
      <c r="N234" t="str">
        <f t="shared" si="22"/>
        <v>1950-11-10</v>
      </c>
      <c r="O234">
        <f t="shared" si="23"/>
        <v>61</v>
      </c>
      <c r="P234" t="str">
        <f t="shared" si="24"/>
        <v>kobieta</v>
      </c>
      <c r="Q234">
        <f t="shared" si="25"/>
        <v>79</v>
      </c>
      <c r="R234">
        <f t="shared" si="26"/>
        <v>48</v>
      </c>
      <c r="S234">
        <f t="shared" ca="1" si="27"/>
        <v>0</v>
      </c>
    </row>
    <row r="235" spans="1:19">
      <c r="A235" s="1" t="s">
        <v>24</v>
      </c>
      <c r="B235" s="2">
        <v>700</v>
      </c>
      <c r="C235" s="1">
        <v>0</v>
      </c>
      <c r="D235" s="1" t="s">
        <v>767</v>
      </c>
      <c r="E235" s="1">
        <v>12</v>
      </c>
      <c r="F235" s="3">
        <v>1036</v>
      </c>
      <c r="G235" s="1">
        <v>0</v>
      </c>
      <c r="H235" s="1" t="s">
        <v>768</v>
      </c>
      <c r="I235" s="1" t="s">
        <v>769</v>
      </c>
      <c r="J235" s="1" t="s">
        <v>246</v>
      </c>
      <c r="K235" s="1" t="s">
        <v>16</v>
      </c>
      <c r="L235" s="1" t="s">
        <v>28</v>
      </c>
      <c r="M235">
        <f t="shared" si="21"/>
        <v>700</v>
      </c>
      <c r="N235" t="str">
        <f t="shared" si="22"/>
        <v>1992-05-28</v>
      </c>
      <c r="O235">
        <f t="shared" si="23"/>
        <v>19</v>
      </c>
      <c r="P235" t="str">
        <f t="shared" si="24"/>
        <v>mężczyzna</v>
      </c>
      <c r="Q235">
        <f t="shared" si="25"/>
        <v>5</v>
      </c>
      <c r="R235">
        <f t="shared" si="26"/>
        <v>4</v>
      </c>
      <c r="S235">
        <f t="shared" ca="1" si="27"/>
        <v>0</v>
      </c>
    </row>
    <row r="236" spans="1:19">
      <c r="A236" s="1" t="s">
        <v>19</v>
      </c>
      <c r="B236" s="2">
        <v>200</v>
      </c>
      <c r="C236" s="1">
        <v>200</v>
      </c>
      <c r="D236" s="1" t="s">
        <v>770</v>
      </c>
      <c r="E236" s="1">
        <v>13</v>
      </c>
      <c r="F236" s="3">
        <v>1287.6600000000001</v>
      </c>
      <c r="G236" s="1">
        <v>4</v>
      </c>
      <c r="H236" s="1" t="s">
        <v>771</v>
      </c>
      <c r="I236" s="1" t="s">
        <v>772</v>
      </c>
      <c r="J236" s="1" t="s">
        <v>16</v>
      </c>
      <c r="K236" s="1" t="s">
        <v>758</v>
      </c>
      <c r="L236" s="1" t="s">
        <v>380</v>
      </c>
      <c r="M236">
        <f t="shared" si="21"/>
        <v>200</v>
      </c>
      <c r="N236" t="str">
        <f t="shared" si="22"/>
        <v>1948-09-05</v>
      </c>
      <c r="O236">
        <f t="shared" si="23"/>
        <v>63</v>
      </c>
      <c r="P236" t="str">
        <f t="shared" si="24"/>
        <v>mężczyzna</v>
      </c>
      <c r="Q236">
        <f t="shared" si="25"/>
        <v>97</v>
      </c>
      <c r="R236">
        <f t="shared" si="26"/>
        <v>48</v>
      </c>
      <c r="S236">
        <f t="shared" ca="1" si="27"/>
        <v>0</v>
      </c>
    </row>
    <row r="237" spans="1:19">
      <c r="A237" s="1" t="s">
        <v>24</v>
      </c>
      <c r="B237" s="2">
        <v>500</v>
      </c>
      <c r="C237" s="1">
        <v>0</v>
      </c>
      <c r="D237" s="1" t="s">
        <v>752</v>
      </c>
      <c r="E237" s="1">
        <v>12</v>
      </c>
      <c r="F237" s="3">
        <v>1428</v>
      </c>
      <c r="G237" s="1">
        <v>0</v>
      </c>
      <c r="H237" s="1" t="s">
        <v>773</v>
      </c>
      <c r="I237" s="1" t="s">
        <v>754</v>
      </c>
      <c r="J237" s="1" t="s">
        <v>755</v>
      </c>
      <c r="K237" s="1" t="s">
        <v>16</v>
      </c>
      <c r="L237" s="1" t="s">
        <v>28</v>
      </c>
      <c r="M237">
        <f t="shared" si="21"/>
        <v>500</v>
      </c>
      <c r="N237" t="str">
        <f t="shared" si="22"/>
        <v>1984-07-22</v>
      </c>
      <c r="O237">
        <f t="shared" si="23"/>
        <v>27</v>
      </c>
      <c r="P237" t="str">
        <f t="shared" si="24"/>
        <v>mężczyzna</v>
      </c>
      <c r="Q237">
        <f t="shared" si="25"/>
        <v>2</v>
      </c>
      <c r="R237">
        <f t="shared" si="26"/>
        <v>1</v>
      </c>
      <c r="S237">
        <f t="shared" ca="1" si="27"/>
        <v>0</v>
      </c>
    </row>
    <row r="238" spans="1:19">
      <c r="A238" s="1" t="s">
        <v>19</v>
      </c>
      <c r="B238" s="2">
        <v>286.39</v>
      </c>
      <c r="C238" s="1">
        <v>286.39</v>
      </c>
      <c r="D238" s="1" t="s">
        <v>774</v>
      </c>
      <c r="E238" s="1">
        <v>13</v>
      </c>
      <c r="F238" s="3">
        <v>1658</v>
      </c>
      <c r="G238" s="1">
        <v>5</v>
      </c>
      <c r="H238" s="1" t="s">
        <v>775</v>
      </c>
      <c r="I238" s="1" t="s">
        <v>776</v>
      </c>
      <c r="J238" s="1" t="s">
        <v>16</v>
      </c>
      <c r="K238" s="1" t="s">
        <v>758</v>
      </c>
      <c r="L238" s="1" t="s">
        <v>677</v>
      </c>
      <c r="M238">
        <f t="shared" si="21"/>
        <v>286.39</v>
      </c>
      <c r="N238" t="str">
        <f t="shared" si="22"/>
        <v>1952-10-27</v>
      </c>
      <c r="O238">
        <f t="shared" si="23"/>
        <v>59</v>
      </c>
      <c r="P238" t="str">
        <f t="shared" si="24"/>
        <v>kobieta</v>
      </c>
      <c r="Q238">
        <f t="shared" si="25"/>
        <v>30</v>
      </c>
      <c r="R238">
        <f t="shared" si="26"/>
        <v>48</v>
      </c>
      <c r="S238">
        <f t="shared" ca="1" si="27"/>
        <v>3</v>
      </c>
    </row>
    <row r="239" spans="1:19">
      <c r="A239" s="1" t="s">
        <v>19</v>
      </c>
      <c r="B239" s="2">
        <v>200</v>
      </c>
      <c r="C239" s="1">
        <v>200</v>
      </c>
      <c r="D239" s="1" t="s">
        <v>777</v>
      </c>
      <c r="E239" s="1">
        <v>16</v>
      </c>
      <c r="F239" s="3">
        <v>634</v>
      </c>
      <c r="G239" s="1">
        <v>4</v>
      </c>
      <c r="H239" s="1" t="s">
        <v>778</v>
      </c>
      <c r="I239" s="1" t="s">
        <v>425</v>
      </c>
      <c r="J239" s="1" t="s">
        <v>16</v>
      </c>
      <c r="K239" s="1" t="s">
        <v>758</v>
      </c>
      <c r="L239" s="1" t="s">
        <v>380</v>
      </c>
      <c r="M239">
        <f t="shared" si="21"/>
        <v>200</v>
      </c>
      <c r="N239" t="str">
        <f t="shared" si="22"/>
        <v>1953-09-06</v>
      </c>
      <c r="O239">
        <f t="shared" si="23"/>
        <v>58</v>
      </c>
      <c r="P239" t="str">
        <f t="shared" si="24"/>
        <v>kobieta</v>
      </c>
      <c r="Q239">
        <f t="shared" si="25"/>
        <v>52</v>
      </c>
      <c r="R239">
        <f t="shared" si="26"/>
        <v>48</v>
      </c>
      <c r="S239">
        <f t="shared" ca="1" si="27"/>
        <v>0</v>
      </c>
    </row>
    <row r="240" spans="1:19">
      <c r="A240" s="1" t="s">
        <v>12</v>
      </c>
      <c r="B240" s="2">
        <v>600</v>
      </c>
      <c r="C240" s="1">
        <v>600</v>
      </c>
      <c r="D240" s="1" t="s">
        <v>779</v>
      </c>
      <c r="E240" s="1">
        <v>11</v>
      </c>
      <c r="F240" s="3">
        <v>1540</v>
      </c>
      <c r="G240" s="1">
        <v>2</v>
      </c>
      <c r="H240" s="1" t="s">
        <v>780</v>
      </c>
      <c r="I240" s="1" t="s">
        <v>781</v>
      </c>
      <c r="J240" s="1" t="s">
        <v>16</v>
      </c>
      <c r="K240" s="1" t="s">
        <v>758</v>
      </c>
      <c r="L240" s="1" t="s">
        <v>215</v>
      </c>
      <c r="M240">
        <f t="shared" si="21"/>
        <v>600</v>
      </c>
      <c r="N240" t="str">
        <f t="shared" si="22"/>
        <v>1978-02-18</v>
      </c>
      <c r="O240">
        <f t="shared" si="23"/>
        <v>33</v>
      </c>
      <c r="P240" t="str">
        <f t="shared" si="24"/>
        <v>kobieta</v>
      </c>
      <c r="Q240">
        <f t="shared" si="25"/>
        <v>40</v>
      </c>
      <c r="R240">
        <f t="shared" si="26"/>
        <v>48</v>
      </c>
      <c r="S240">
        <f t="shared" ca="1" si="27"/>
        <v>4</v>
      </c>
    </row>
    <row r="241" spans="1:19">
      <c r="A241" s="1" t="s">
        <v>19</v>
      </c>
      <c r="B241" s="2">
        <v>200</v>
      </c>
      <c r="C241" s="1">
        <v>200</v>
      </c>
      <c r="D241" s="1" t="s">
        <v>782</v>
      </c>
      <c r="E241" s="1">
        <v>11</v>
      </c>
      <c r="F241" s="3">
        <v>1400</v>
      </c>
      <c r="G241" s="1">
        <v>5</v>
      </c>
      <c r="H241" s="1" t="s">
        <v>783</v>
      </c>
      <c r="I241" s="1" t="s">
        <v>784</v>
      </c>
      <c r="J241" s="1" t="s">
        <v>16</v>
      </c>
      <c r="K241" s="1" t="s">
        <v>758</v>
      </c>
      <c r="L241" s="1" t="s">
        <v>651</v>
      </c>
      <c r="M241">
        <f t="shared" si="21"/>
        <v>200</v>
      </c>
      <c r="N241" t="str">
        <f t="shared" si="22"/>
        <v>1957-01-13</v>
      </c>
      <c r="O241">
        <f t="shared" si="23"/>
        <v>54</v>
      </c>
      <c r="P241" t="str">
        <f t="shared" si="24"/>
        <v>kobieta</v>
      </c>
      <c r="Q241">
        <f t="shared" si="25"/>
        <v>118</v>
      </c>
      <c r="R241">
        <f t="shared" si="26"/>
        <v>48</v>
      </c>
      <c r="S241">
        <f t="shared" ca="1" si="27"/>
        <v>1</v>
      </c>
    </row>
    <row r="242" spans="1:19">
      <c r="A242" s="1" t="s">
        <v>19</v>
      </c>
      <c r="B242" s="2">
        <v>200</v>
      </c>
      <c r="C242" s="1">
        <v>200</v>
      </c>
      <c r="D242" s="1" t="s">
        <v>785</v>
      </c>
      <c r="E242" s="1">
        <v>13</v>
      </c>
      <c r="F242" s="3">
        <v>1233</v>
      </c>
      <c r="G242" s="1">
        <v>4</v>
      </c>
      <c r="H242" s="1" t="s">
        <v>786</v>
      </c>
      <c r="I242" s="1" t="s">
        <v>787</v>
      </c>
      <c r="J242" s="1" t="s">
        <v>16</v>
      </c>
      <c r="K242" s="1" t="s">
        <v>758</v>
      </c>
      <c r="L242" s="1" t="s">
        <v>380</v>
      </c>
      <c r="M242">
        <f t="shared" si="21"/>
        <v>200</v>
      </c>
      <c r="N242" t="str">
        <f t="shared" si="22"/>
        <v>1948-04-24</v>
      </c>
      <c r="O242">
        <f t="shared" si="23"/>
        <v>63</v>
      </c>
      <c r="P242" t="str">
        <f t="shared" si="24"/>
        <v>kobieta</v>
      </c>
      <c r="Q242">
        <f t="shared" si="25"/>
        <v>124</v>
      </c>
      <c r="R242">
        <f t="shared" si="26"/>
        <v>48</v>
      </c>
      <c r="S242">
        <f t="shared" ca="1" si="27"/>
        <v>0</v>
      </c>
    </row>
    <row r="243" spans="1:19">
      <c r="A243" s="1" t="s">
        <v>12</v>
      </c>
      <c r="B243" s="2">
        <v>200</v>
      </c>
      <c r="C243" s="1">
        <v>200</v>
      </c>
      <c r="D243" s="1" t="s">
        <v>788</v>
      </c>
      <c r="E243" s="1">
        <v>11</v>
      </c>
      <c r="F243" s="3">
        <v>983.97</v>
      </c>
      <c r="G243" s="1">
        <v>3</v>
      </c>
      <c r="H243" s="1" t="s">
        <v>789</v>
      </c>
      <c r="I243" s="1" t="s">
        <v>790</v>
      </c>
      <c r="J243" s="1" t="s">
        <v>16</v>
      </c>
      <c r="K243" s="1" t="s">
        <v>758</v>
      </c>
      <c r="L243" s="1" t="s">
        <v>657</v>
      </c>
      <c r="M243">
        <f t="shared" si="21"/>
        <v>200</v>
      </c>
      <c r="N243" t="str">
        <f t="shared" si="22"/>
        <v>1954-11-09</v>
      </c>
      <c r="O243">
        <f t="shared" si="23"/>
        <v>57</v>
      </c>
      <c r="P243" t="str">
        <f t="shared" si="24"/>
        <v>kobieta</v>
      </c>
      <c r="Q243">
        <f t="shared" si="25"/>
        <v>79</v>
      </c>
      <c r="R243">
        <f t="shared" si="26"/>
        <v>48</v>
      </c>
      <c r="S243">
        <f t="shared" ca="1" si="27"/>
        <v>10</v>
      </c>
    </row>
    <row r="244" spans="1:19">
      <c r="A244" s="1" t="s">
        <v>19</v>
      </c>
      <c r="B244" s="2">
        <v>250</v>
      </c>
      <c r="C244" s="1">
        <v>250</v>
      </c>
      <c r="D244" s="1" t="s">
        <v>791</v>
      </c>
      <c r="E244" s="1">
        <v>99</v>
      </c>
      <c r="F244" s="3">
        <v>2290.5500000000002</v>
      </c>
      <c r="G244" s="1">
        <v>2</v>
      </c>
      <c r="H244" s="1" t="s">
        <v>792</v>
      </c>
      <c r="I244" s="1" t="s">
        <v>535</v>
      </c>
      <c r="J244" s="1" t="s">
        <v>63</v>
      </c>
      <c r="K244" s="1" t="s">
        <v>758</v>
      </c>
      <c r="L244" s="1" t="s">
        <v>592</v>
      </c>
      <c r="M244">
        <f t="shared" si="21"/>
        <v>250</v>
      </c>
      <c r="N244" t="str">
        <f t="shared" si="22"/>
        <v>1969-05-31</v>
      </c>
      <c r="O244">
        <f t="shared" si="23"/>
        <v>42</v>
      </c>
      <c r="P244" t="str">
        <f t="shared" si="24"/>
        <v>kobieta</v>
      </c>
      <c r="Q244">
        <f t="shared" si="25"/>
        <v>19</v>
      </c>
      <c r="R244">
        <f t="shared" si="26"/>
        <v>1</v>
      </c>
      <c r="S244">
        <f t="shared" ca="1" si="27"/>
        <v>0</v>
      </c>
    </row>
    <row r="245" spans="1:19">
      <c r="A245" s="1" t="s">
        <v>19</v>
      </c>
      <c r="B245" s="2">
        <v>286.13</v>
      </c>
      <c r="C245" s="1">
        <v>286.13</v>
      </c>
      <c r="D245" s="1" t="s">
        <v>793</v>
      </c>
      <c r="E245" s="1">
        <v>12</v>
      </c>
      <c r="F245" s="3">
        <v>1032</v>
      </c>
      <c r="G245" s="1">
        <v>5</v>
      </c>
      <c r="H245" s="1" t="s">
        <v>794</v>
      </c>
      <c r="I245" s="1" t="s">
        <v>795</v>
      </c>
      <c r="J245" s="1" t="s">
        <v>63</v>
      </c>
      <c r="K245" s="1" t="s">
        <v>758</v>
      </c>
      <c r="L245" s="1" t="s">
        <v>380</v>
      </c>
      <c r="M245">
        <f t="shared" si="21"/>
        <v>286.13</v>
      </c>
      <c r="N245" t="str">
        <f t="shared" si="22"/>
        <v>1965-11-24</v>
      </c>
      <c r="O245">
        <f t="shared" si="23"/>
        <v>46</v>
      </c>
      <c r="P245" t="str">
        <f t="shared" si="24"/>
        <v>kobieta</v>
      </c>
      <c r="Q245">
        <f t="shared" si="25"/>
        <v>39</v>
      </c>
      <c r="R245">
        <f t="shared" si="26"/>
        <v>1</v>
      </c>
      <c r="S245">
        <f t="shared" ca="1" si="27"/>
        <v>0</v>
      </c>
    </row>
    <row r="246" spans="1:19">
      <c r="A246" s="1" t="s">
        <v>12</v>
      </c>
      <c r="B246" s="2">
        <v>200</v>
      </c>
      <c r="C246" s="1">
        <v>200</v>
      </c>
      <c r="D246" s="1" t="s">
        <v>796</v>
      </c>
      <c r="E246" s="1">
        <v>13</v>
      </c>
      <c r="F246" s="3">
        <v>866.46</v>
      </c>
      <c r="G246" s="1">
        <v>2</v>
      </c>
      <c r="H246" s="1" t="s">
        <v>797</v>
      </c>
      <c r="I246" s="1" t="s">
        <v>798</v>
      </c>
      <c r="J246" s="1" t="s">
        <v>16</v>
      </c>
      <c r="K246" s="1" t="s">
        <v>758</v>
      </c>
      <c r="L246" s="1" t="s">
        <v>215</v>
      </c>
      <c r="M246">
        <f t="shared" si="21"/>
        <v>200</v>
      </c>
      <c r="N246" t="str">
        <f t="shared" si="22"/>
        <v>1938-12-01</v>
      </c>
      <c r="O246">
        <f t="shared" si="23"/>
        <v>73</v>
      </c>
      <c r="P246" t="str">
        <f t="shared" si="24"/>
        <v>kobieta</v>
      </c>
      <c r="Q246">
        <f t="shared" si="25"/>
        <v>196</v>
      </c>
      <c r="R246">
        <f t="shared" si="26"/>
        <v>48</v>
      </c>
      <c r="S246">
        <f t="shared" ca="1" si="27"/>
        <v>4</v>
      </c>
    </row>
    <row r="247" spans="1:19">
      <c r="A247" s="1" t="s">
        <v>19</v>
      </c>
      <c r="B247" s="2">
        <v>200</v>
      </c>
      <c r="C247" s="1">
        <v>200</v>
      </c>
      <c r="D247" s="1" t="s">
        <v>799</v>
      </c>
      <c r="E247" s="1">
        <v>12</v>
      </c>
      <c r="F247" s="3">
        <v>599.03</v>
      </c>
      <c r="G247" s="1">
        <v>4</v>
      </c>
      <c r="H247" s="1" t="s">
        <v>800</v>
      </c>
      <c r="I247" s="1" t="s">
        <v>121</v>
      </c>
      <c r="J247" s="1" t="s">
        <v>396</v>
      </c>
      <c r="K247" s="1" t="s">
        <v>758</v>
      </c>
      <c r="L247" s="1" t="s">
        <v>740</v>
      </c>
      <c r="M247">
        <f t="shared" si="21"/>
        <v>200</v>
      </c>
      <c r="N247" t="str">
        <f t="shared" si="22"/>
        <v>1974-12-03</v>
      </c>
      <c r="O247">
        <f t="shared" si="23"/>
        <v>37</v>
      </c>
      <c r="P247" t="str">
        <f t="shared" si="24"/>
        <v>kobieta</v>
      </c>
      <c r="Q247">
        <f t="shared" si="25"/>
        <v>20</v>
      </c>
      <c r="R247">
        <f t="shared" si="26"/>
        <v>1</v>
      </c>
      <c r="S247">
        <f t="shared" ca="1" si="27"/>
        <v>8</v>
      </c>
    </row>
    <row r="248" spans="1:19">
      <c r="A248" s="1" t="s">
        <v>19</v>
      </c>
      <c r="B248" s="2">
        <v>700</v>
      </c>
      <c r="C248" s="1">
        <v>700</v>
      </c>
      <c r="D248" s="1" t="s">
        <v>801</v>
      </c>
      <c r="E248" s="1">
        <v>13</v>
      </c>
      <c r="F248" s="3">
        <v>1977</v>
      </c>
      <c r="G248" s="1">
        <v>3</v>
      </c>
      <c r="H248" s="1" t="s">
        <v>802</v>
      </c>
      <c r="I248" s="1" t="s">
        <v>803</v>
      </c>
      <c r="J248" s="1" t="s">
        <v>16</v>
      </c>
      <c r="K248" s="1" t="s">
        <v>758</v>
      </c>
      <c r="L248" s="1" t="s">
        <v>804</v>
      </c>
      <c r="M248">
        <f t="shared" si="21"/>
        <v>700</v>
      </c>
      <c r="N248" t="str">
        <f t="shared" si="22"/>
        <v>1950-02-25</v>
      </c>
      <c r="O248">
        <f t="shared" si="23"/>
        <v>61</v>
      </c>
      <c r="P248" t="str">
        <f t="shared" si="24"/>
        <v>kobieta</v>
      </c>
      <c r="Q248">
        <f t="shared" si="25"/>
        <v>56</v>
      </c>
      <c r="R248">
        <f t="shared" si="26"/>
        <v>48</v>
      </c>
      <c r="S248">
        <f t="shared" ca="1" si="27"/>
        <v>18</v>
      </c>
    </row>
    <row r="249" spans="1:19">
      <c r="A249" s="1" t="s">
        <v>19</v>
      </c>
      <c r="B249" s="2">
        <v>200</v>
      </c>
      <c r="C249" s="1">
        <v>200</v>
      </c>
      <c r="D249" s="1" t="s">
        <v>805</v>
      </c>
      <c r="E249" s="1">
        <v>13</v>
      </c>
      <c r="F249" s="3">
        <v>670</v>
      </c>
      <c r="G249" s="1">
        <v>1</v>
      </c>
      <c r="H249" s="1" t="s">
        <v>806</v>
      </c>
      <c r="I249" s="1" t="s">
        <v>807</v>
      </c>
      <c r="J249" s="1" t="s">
        <v>16</v>
      </c>
      <c r="K249" s="1" t="s">
        <v>758</v>
      </c>
      <c r="L249" s="1" t="s">
        <v>585</v>
      </c>
      <c r="M249">
        <f t="shared" si="21"/>
        <v>200</v>
      </c>
      <c r="N249" t="str">
        <f t="shared" si="22"/>
        <v>1946-07-08</v>
      </c>
      <c r="O249">
        <f t="shared" si="23"/>
        <v>65</v>
      </c>
      <c r="P249" t="str">
        <f t="shared" si="24"/>
        <v>kobieta</v>
      </c>
      <c r="Q249">
        <f t="shared" si="25"/>
        <v>67</v>
      </c>
      <c r="R249">
        <f t="shared" si="26"/>
        <v>48</v>
      </c>
      <c r="S249">
        <f t="shared" ca="1" si="27"/>
        <v>7</v>
      </c>
    </row>
    <row r="250" spans="1:19">
      <c r="A250" s="1" t="s">
        <v>24</v>
      </c>
      <c r="B250" s="2">
        <v>200</v>
      </c>
      <c r="C250" s="1">
        <v>0</v>
      </c>
      <c r="D250" s="1" t="s">
        <v>808</v>
      </c>
      <c r="E250" s="1">
        <v>13</v>
      </c>
      <c r="F250" s="3">
        <v>976.76</v>
      </c>
      <c r="G250" s="1">
        <v>0</v>
      </c>
      <c r="H250" s="1" t="s">
        <v>809</v>
      </c>
      <c r="I250" s="1" t="s">
        <v>810</v>
      </c>
      <c r="J250" s="1" t="s">
        <v>16</v>
      </c>
      <c r="K250" s="1" t="s">
        <v>16</v>
      </c>
      <c r="L250" s="1" t="s">
        <v>28</v>
      </c>
      <c r="M250">
        <f t="shared" si="21"/>
        <v>200</v>
      </c>
      <c r="N250" t="str">
        <f t="shared" si="22"/>
        <v>1953-04-16</v>
      </c>
      <c r="O250">
        <f t="shared" si="23"/>
        <v>58</v>
      </c>
      <c r="P250" t="str">
        <f t="shared" si="24"/>
        <v>kobieta</v>
      </c>
      <c r="Q250">
        <f t="shared" si="25"/>
        <v>41</v>
      </c>
      <c r="R250">
        <f t="shared" si="26"/>
        <v>48</v>
      </c>
      <c r="S250">
        <f t="shared" ca="1" si="27"/>
        <v>0</v>
      </c>
    </row>
    <row r="251" spans="1:19">
      <c r="A251" s="1" t="s">
        <v>24</v>
      </c>
      <c r="B251" s="2">
        <v>600</v>
      </c>
      <c r="C251" s="1">
        <v>0</v>
      </c>
      <c r="D251" s="1" t="s">
        <v>811</v>
      </c>
      <c r="E251" s="1">
        <v>16</v>
      </c>
      <c r="F251" s="3">
        <v>533.37</v>
      </c>
      <c r="G251" s="1">
        <v>0</v>
      </c>
      <c r="H251" s="1" t="s">
        <v>812</v>
      </c>
      <c r="I251" s="1" t="s">
        <v>538</v>
      </c>
      <c r="J251" s="1" t="s">
        <v>16</v>
      </c>
      <c r="K251" s="1" t="s">
        <v>16</v>
      </c>
      <c r="L251" s="1" t="s">
        <v>28</v>
      </c>
      <c r="M251">
        <f t="shared" si="21"/>
        <v>600</v>
      </c>
      <c r="N251" t="str">
        <f t="shared" si="22"/>
        <v>1947-10-09</v>
      </c>
      <c r="O251">
        <f t="shared" si="23"/>
        <v>64</v>
      </c>
      <c r="P251" t="str">
        <f t="shared" si="24"/>
        <v>mężczyzna</v>
      </c>
      <c r="Q251">
        <f t="shared" si="25"/>
        <v>102</v>
      </c>
      <c r="R251">
        <f t="shared" si="26"/>
        <v>48</v>
      </c>
      <c r="S251">
        <f t="shared" ca="1" si="27"/>
        <v>0</v>
      </c>
    </row>
    <row r="252" spans="1:19">
      <c r="A252" s="1" t="s">
        <v>19</v>
      </c>
      <c r="B252" s="2">
        <v>200</v>
      </c>
      <c r="C252" s="1">
        <v>200</v>
      </c>
      <c r="D252" s="1" t="s">
        <v>813</v>
      </c>
      <c r="E252" s="1">
        <v>13</v>
      </c>
      <c r="F252" s="3">
        <v>803.86</v>
      </c>
      <c r="G252" s="1">
        <v>5</v>
      </c>
      <c r="H252" s="1" t="s">
        <v>814</v>
      </c>
      <c r="I252" s="1" t="s">
        <v>815</v>
      </c>
      <c r="J252" s="1" t="s">
        <v>16</v>
      </c>
      <c r="K252" s="1" t="s">
        <v>816</v>
      </c>
      <c r="L252" s="1" t="s">
        <v>380</v>
      </c>
      <c r="M252">
        <f t="shared" si="21"/>
        <v>200</v>
      </c>
      <c r="N252" t="str">
        <f t="shared" si="22"/>
        <v>1943-01-28</v>
      </c>
      <c r="O252">
        <f t="shared" si="23"/>
        <v>68</v>
      </c>
      <c r="P252" t="str">
        <f t="shared" si="24"/>
        <v>kobieta</v>
      </c>
      <c r="Q252">
        <f t="shared" si="25"/>
        <v>159</v>
      </c>
      <c r="R252">
        <f t="shared" si="26"/>
        <v>48</v>
      </c>
      <c r="S252">
        <f t="shared" ca="1" si="27"/>
        <v>0</v>
      </c>
    </row>
    <row r="253" spans="1:19">
      <c r="A253" s="1" t="s">
        <v>19</v>
      </c>
      <c r="B253" s="2">
        <v>300</v>
      </c>
      <c r="C253" s="1">
        <v>300</v>
      </c>
      <c r="D253" s="1" t="s">
        <v>817</v>
      </c>
      <c r="E253" s="1">
        <v>13</v>
      </c>
      <c r="F253" s="3">
        <v>562</v>
      </c>
      <c r="G253" s="1">
        <v>1</v>
      </c>
      <c r="H253" s="1" t="s">
        <v>818</v>
      </c>
      <c r="I253" s="1" t="s">
        <v>474</v>
      </c>
      <c r="J253" s="1" t="s">
        <v>16</v>
      </c>
      <c r="K253" s="1" t="s">
        <v>816</v>
      </c>
      <c r="L253" s="1" t="s">
        <v>313</v>
      </c>
      <c r="M253">
        <f t="shared" si="21"/>
        <v>300</v>
      </c>
      <c r="N253" t="str">
        <f t="shared" si="22"/>
        <v>1940-08-21</v>
      </c>
      <c r="O253">
        <f t="shared" si="23"/>
        <v>71</v>
      </c>
      <c r="P253" t="str">
        <f t="shared" si="24"/>
        <v>mężczyzna</v>
      </c>
      <c r="Q253">
        <f t="shared" si="25"/>
        <v>82</v>
      </c>
      <c r="R253">
        <f t="shared" si="26"/>
        <v>48</v>
      </c>
      <c r="S253">
        <f t="shared" ca="1" si="27"/>
        <v>5</v>
      </c>
    </row>
    <row r="254" spans="1:19">
      <c r="A254" s="1" t="s">
        <v>12</v>
      </c>
      <c r="B254" s="2">
        <v>200</v>
      </c>
      <c r="C254" s="1">
        <v>200</v>
      </c>
      <c r="D254" s="1" t="s">
        <v>190</v>
      </c>
      <c r="E254" s="1">
        <v>13</v>
      </c>
      <c r="F254" s="3">
        <v>1026</v>
      </c>
      <c r="G254" s="1">
        <v>5</v>
      </c>
      <c r="H254" s="1" t="s">
        <v>819</v>
      </c>
      <c r="I254" s="1" t="s">
        <v>192</v>
      </c>
      <c r="J254" s="1" t="s">
        <v>16</v>
      </c>
      <c r="K254" s="1" t="s">
        <v>816</v>
      </c>
      <c r="L254" s="1" t="s">
        <v>670</v>
      </c>
      <c r="M254">
        <f t="shared" si="21"/>
        <v>200</v>
      </c>
      <c r="N254" t="str">
        <f t="shared" si="22"/>
        <v>1937-05-27</v>
      </c>
      <c r="O254">
        <f t="shared" si="23"/>
        <v>74</v>
      </c>
      <c r="P254" t="str">
        <f t="shared" si="24"/>
        <v>kobieta</v>
      </c>
      <c r="Q254">
        <f t="shared" si="25"/>
        <v>248</v>
      </c>
      <c r="R254">
        <f t="shared" si="26"/>
        <v>48</v>
      </c>
      <c r="S254">
        <f t="shared" ca="1" si="27"/>
        <v>0</v>
      </c>
    </row>
    <row r="255" spans="1:19">
      <c r="A255" s="1" t="s">
        <v>19</v>
      </c>
      <c r="B255" s="2">
        <v>300</v>
      </c>
      <c r="C255" s="1">
        <v>300</v>
      </c>
      <c r="D255" s="1" t="s">
        <v>820</v>
      </c>
      <c r="E255" s="1">
        <v>11</v>
      </c>
      <c r="F255" s="3">
        <v>900</v>
      </c>
      <c r="G255" s="1">
        <v>5</v>
      </c>
      <c r="H255" s="1" t="s">
        <v>821</v>
      </c>
      <c r="I255" s="1" t="s">
        <v>822</v>
      </c>
      <c r="J255" s="1" t="s">
        <v>16</v>
      </c>
      <c r="K255" s="1" t="s">
        <v>816</v>
      </c>
      <c r="L255" s="1" t="s">
        <v>677</v>
      </c>
      <c r="M255">
        <f t="shared" si="21"/>
        <v>300</v>
      </c>
      <c r="N255" t="str">
        <f t="shared" si="22"/>
        <v>1965-10-26</v>
      </c>
      <c r="O255">
        <f t="shared" si="23"/>
        <v>46</v>
      </c>
      <c r="P255" t="str">
        <f t="shared" si="24"/>
        <v>kobieta</v>
      </c>
      <c r="Q255">
        <f t="shared" si="25"/>
        <v>94</v>
      </c>
      <c r="R255">
        <f t="shared" si="26"/>
        <v>48</v>
      </c>
      <c r="S255">
        <f t="shared" ca="1" si="27"/>
        <v>2</v>
      </c>
    </row>
    <row r="256" spans="1:19">
      <c r="A256" s="1" t="s">
        <v>19</v>
      </c>
      <c r="B256" s="2">
        <v>800</v>
      </c>
      <c r="C256" s="1">
        <v>800</v>
      </c>
      <c r="D256" s="1" t="s">
        <v>823</v>
      </c>
      <c r="E256" s="1">
        <v>13</v>
      </c>
      <c r="F256" s="3">
        <v>3440</v>
      </c>
      <c r="G256" s="1">
        <v>5</v>
      </c>
      <c r="H256" s="1" t="s">
        <v>824</v>
      </c>
      <c r="I256" s="1" t="s">
        <v>825</v>
      </c>
      <c r="J256" s="1" t="s">
        <v>16</v>
      </c>
      <c r="K256" s="1" t="s">
        <v>816</v>
      </c>
      <c r="L256" s="1" t="s">
        <v>677</v>
      </c>
      <c r="M256">
        <f t="shared" si="21"/>
        <v>800</v>
      </c>
      <c r="N256" t="str">
        <f t="shared" si="22"/>
        <v>1956-04-20</v>
      </c>
      <c r="O256">
        <f t="shared" si="23"/>
        <v>55</v>
      </c>
      <c r="P256" t="str">
        <f t="shared" si="24"/>
        <v>kobieta</v>
      </c>
      <c r="Q256">
        <f t="shared" si="25"/>
        <v>52</v>
      </c>
      <c r="R256">
        <f t="shared" si="26"/>
        <v>48</v>
      </c>
      <c r="S256">
        <f t="shared" ca="1" si="27"/>
        <v>2</v>
      </c>
    </row>
    <row r="257" spans="1:19">
      <c r="A257" s="1" t="s">
        <v>12</v>
      </c>
      <c r="B257" s="2">
        <v>500</v>
      </c>
      <c r="C257" s="1">
        <v>300</v>
      </c>
      <c r="D257" s="1" t="s">
        <v>826</v>
      </c>
      <c r="E257" s="1">
        <v>16</v>
      </c>
      <c r="F257" s="3">
        <v>2150</v>
      </c>
      <c r="G257" s="1">
        <v>0</v>
      </c>
      <c r="H257" s="1" t="s">
        <v>827</v>
      </c>
      <c r="I257" s="1" t="s">
        <v>474</v>
      </c>
      <c r="J257" s="1" t="s">
        <v>16</v>
      </c>
      <c r="K257" s="1" t="s">
        <v>816</v>
      </c>
      <c r="L257" s="1" t="s">
        <v>651</v>
      </c>
      <c r="M257">
        <f t="shared" si="21"/>
        <v>300</v>
      </c>
      <c r="N257" t="str">
        <f t="shared" si="22"/>
        <v>1961-07-18</v>
      </c>
      <c r="O257">
        <f t="shared" si="23"/>
        <v>50</v>
      </c>
      <c r="P257" t="str">
        <f t="shared" si="24"/>
        <v>mężczyzna</v>
      </c>
      <c r="Q257">
        <f t="shared" si="25"/>
        <v>82</v>
      </c>
      <c r="R257">
        <f t="shared" si="26"/>
        <v>48</v>
      </c>
      <c r="S257">
        <f t="shared" ca="1" si="27"/>
        <v>0</v>
      </c>
    </row>
    <row r="258" spans="1:19">
      <c r="A258" s="1" t="s">
        <v>19</v>
      </c>
      <c r="B258" s="2">
        <v>400</v>
      </c>
      <c r="C258" s="1">
        <v>400</v>
      </c>
      <c r="D258" s="1" t="s">
        <v>828</v>
      </c>
      <c r="E258" s="1">
        <v>13</v>
      </c>
      <c r="F258" s="3">
        <v>1500</v>
      </c>
      <c r="G258" s="1">
        <v>1</v>
      </c>
      <c r="H258" s="1" t="s">
        <v>829</v>
      </c>
      <c r="I258" s="1" t="s">
        <v>830</v>
      </c>
      <c r="J258" s="1" t="s">
        <v>16</v>
      </c>
      <c r="K258" s="1" t="s">
        <v>816</v>
      </c>
      <c r="L258" s="1" t="s">
        <v>670</v>
      </c>
      <c r="M258">
        <f t="shared" si="21"/>
        <v>400</v>
      </c>
      <c r="N258" t="str">
        <f t="shared" si="22"/>
        <v>1951-06-24</v>
      </c>
      <c r="O258">
        <f t="shared" si="23"/>
        <v>60</v>
      </c>
      <c r="P258" t="str">
        <f t="shared" si="24"/>
        <v>kobieta</v>
      </c>
      <c r="Q258">
        <f t="shared" si="25"/>
        <v>61</v>
      </c>
      <c r="R258">
        <f t="shared" si="26"/>
        <v>48</v>
      </c>
      <c r="S258">
        <f t="shared" ca="1" si="27"/>
        <v>0</v>
      </c>
    </row>
    <row r="259" spans="1:19">
      <c r="A259" s="1" t="s">
        <v>12</v>
      </c>
      <c r="B259" s="2">
        <v>200</v>
      </c>
      <c r="C259" s="1">
        <v>200</v>
      </c>
      <c r="D259" s="1" t="s">
        <v>831</v>
      </c>
      <c r="E259" s="1">
        <v>13</v>
      </c>
      <c r="F259" s="3">
        <v>1083.23</v>
      </c>
      <c r="G259" s="1">
        <v>0</v>
      </c>
      <c r="H259" s="1" t="s">
        <v>832</v>
      </c>
      <c r="I259" s="1" t="s">
        <v>133</v>
      </c>
      <c r="J259" s="1" t="s">
        <v>16</v>
      </c>
      <c r="K259" s="1" t="s">
        <v>816</v>
      </c>
      <c r="L259" s="1" t="s">
        <v>215</v>
      </c>
      <c r="M259">
        <f t="shared" ref="M259:M322" si="28">IF(A259="odmowa", B259,C259)</f>
        <v>200</v>
      </c>
      <c r="N259" t="str">
        <f t="shared" ref="N259:N322" si="29">CONCATENATE("19", MID(D259, 1, 2), "-", MID(D259, 3, 2), "-", MID(D259, 5, 2))</f>
        <v>1953-09-02</v>
      </c>
      <c r="O259">
        <f t="shared" ref="O259:O322" si="30">YEAR(H259) - YEAR(N259)</f>
        <v>58</v>
      </c>
      <c r="P259" t="str">
        <f t="shared" ref="P259:P322" si="31">IF(MOD(MID(D259, 10, 1), 2)=0, "kobieta", "mężczyzna")</f>
        <v>kobieta</v>
      </c>
      <c r="Q259">
        <f t="shared" ref="Q259:Q322" si="32">(YEAR(H259) - YEAR(I259)) * 12 + MONTH(H259) - MONTH(I259)</f>
        <v>98</v>
      </c>
      <c r="R259">
        <f t="shared" ref="R259:R322" si="33">IF(LEFT(J259, 4)="0000", 48, MIN(48, (YEAR(J259) - YEAR(H259)) * 12 + MONTH(J259) - MONTH(H259)))</f>
        <v>48</v>
      </c>
      <c r="S259">
        <f t="shared" ref="S259:S322" ca="1" si="34">IF(LEFT(K259, 4)="0000", 0, IF(LEFT(L259, 4)="0000", MAX(0, TODAY() - K259), MAX(0, L259 - K259)))</f>
        <v>3</v>
      </c>
    </row>
    <row r="260" spans="1:19">
      <c r="A260" s="1" t="s">
        <v>24</v>
      </c>
      <c r="B260" s="2">
        <v>500</v>
      </c>
      <c r="C260" s="1">
        <v>0</v>
      </c>
      <c r="D260" s="1" t="s">
        <v>833</v>
      </c>
      <c r="E260" s="1">
        <v>11</v>
      </c>
      <c r="F260" s="3">
        <v>1700</v>
      </c>
      <c r="G260" s="1">
        <v>0</v>
      </c>
      <c r="H260" s="1" t="s">
        <v>834</v>
      </c>
      <c r="I260" s="1" t="s">
        <v>835</v>
      </c>
      <c r="J260" s="1" t="s">
        <v>16</v>
      </c>
      <c r="K260" s="1" t="s">
        <v>16</v>
      </c>
      <c r="L260" s="1" t="s">
        <v>28</v>
      </c>
      <c r="M260">
        <f t="shared" si="28"/>
        <v>500</v>
      </c>
      <c r="N260" t="str">
        <f t="shared" si="29"/>
        <v>1967-03-08</v>
      </c>
      <c r="O260">
        <f t="shared" si="30"/>
        <v>44</v>
      </c>
      <c r="P260" t="str">
        <f t="shared" si="31"/>
        <v>mężczyzna</v>
      </c>
      <c r="Q260">
        <f t="shared" si="32"/>
        <v>310</v>
      </c>
      <c r="R260">
        <f t="shared" si="33"/>
        <v>48</v>
      </c>
      <c r="S260">
        <f t="shared" ca="1" si="34"/>
        <v>0</v>
      </c>
    </row>
    <row r="261" spans="1:19">
      <c r="A261" s="1" t="s">
        <v>19</v>
      </c>
      <c r="B261" s="2">
        <v>300</v>
      </c>
      <c r="C261" s="1">
        <v>300</v>
      </c>
      <c r="D261" s="1" t="s">
        <v>74</v>
      </c>
      <c r="E261" s="1">
        <v>13</v>
      </c>
      <c r="F261" s="3">
        <v>1300</v>
      </c>
      <c r="G261" s="1">
        <v>2</v>
      </c>
      <c r="H261" s="1" t="s">
        <v>836</v>
      </c>
      <c r="I261" s="1" t="s">
        <v>76</v>
      </c>
      <c r="J261" s="1" t="s">
        <v>16</v>
      </c>
      <c r="K261" s="1" t="s">
        <v>816</v>
      </c>
      <c r="L261" s="1" t="s">
        <v>651</v>
      </c>
      <c r="M261">
        <f t="shared" si="28"/>
        <v>300</v>
      </c>
      <c r="N261" t="str">
        <f t="shared" si="29"/>
        <v>1934-02-01</v>
      </c>
      <c r="O261">
        <f t="shared" si="30"/>
        <v>77</v>
      </c>
      <c r="P261" t="str">
        <f t="shared" si="31"/>
        <v>kobieta</v>
      </c>
      <c r="Q261">
        <f t="shared" si="32"/>
        <v>194</v>
      </c>
      <c r="R261">
        <f t="shared" si="33"/>
        <v>48</v>
      </c>
      <c r="S261">
        <f t="shared" ca="1" si="34"/>
        <v>0</v>
      </c>
    </row>
    <row r="262" spans="1:19">
      <c r="A262" s="1" t="s">
        <v>24</v>
      </c>
      <c r="B262" s="2">
        <v>500</v>
      </c>
      <c r="C262" s="1">
        <v>0</v>
      </c>
      <c r="D262" s="1" t="s">
        <v>837</v>
      </c>
      <c r="E262" s="1">
        <v>99</v>
      </c>
      <c r="F262" s="3">
        <v>1807</v>
      </c>
      <c r="G262" s="1">
        <v>0</v>
      </c>
      <c r="H262" s="1" t="s">
        <v>838</v>
      </c>
      <c r="I262" s="1" t="s">
        <v>558</v>
      </c>
      <c r="J262" s="1" t="s">
        <v>839</v>
      </c>
      <c r="K262" s="1" t="s">
        <v>16</v>
      </c>
      <c r="L262" s="1" t="s">
        <v>28</v>
      </c>
      <c r="M262">
        <f t="shared" si="28"/>
        <v>500</v>
      </c>
      <c r="N262" t="str">
        <f t="shared" si="29"/>
        <v>1980-03-17</v>
      </c>
      <c r="O262">
        <f t="shared" si="30"/>
        <v>31</v>
      </c>
      <c r="P262" t="str">
        <f t="shared" si="31"/>
        <v>mężczyzna</v>
      </c>
      <c r="Q262">
        <f t="shared" si="32"/>
        <v>0</v>
      </c>
      <c r="R262">
        <f t="shared" si="33"/>
        <v>11</v>
      </c>
      <c r="S262">
        <f t="shared" ca="1" si="34"/>
        <v>0</v>
      </c>
    </row>
    <row r="263" spans="1:19">
      <c r="A263" s="1" t="s">
        <v>19</v>
      </c>
      <c r="B263" s="2">
        <v>500</v>
      </c>
      <c r="C263" s="1">
        <v>500</v>
      </c>
      <c r="D263" s="1" t="s">
        <v>840</v>
      </c>
      <c r="E263" s="1">
        <v>13</v>
      </c>
      <c r="F263" s="3">
        <v>962</v>
      </c>
      <c r="G263" s="1">
        <v>1</v>
      </c>
      <c r="H263" s="1" t="s">
        <v>841</v>
      </c>
      <c r="I263" s="1" t="s">
        <v>669</v>
      </c>
      <c r="J263" s="1" t="s">
        <v>16</v>
      </c>
      <c r="K263" s="1" t="s">
        <v>816</v>
      </c>
      <c r="L263" s="1" t="s">
        <v>842</v>
      </c>
      <c r="M263">
        <f t="shared" si="28"/>
        <v>500</v>
      </c>
      <c r="N263" t="str">
        <f t="shared" si="29"/>
        <v>1949-10-06</v>
      </c>
      <c r="O263">
        <f t="shared" si="30"/>
        <v>62</v>
      </c>
      <c r="P263" t="str">
        <f t="shared" si="31"/>
        <v>kobieta</v>
      </c>
      <c r="Q263">
        <f t="shared" si="32"/>
        <v>66</v>
      </c>
      <c r="R263">
        <f t="shared" si="33"/>
        <v>48</v>
      </c>
      <c r="S263">
        <f t="shared" ca="1" si="34"/>
        <v>12</v>
      </c>
    </row>
    <row r="264" spans="1:19">
      <c r="A264" s="1" t="s">
        <v>19</v>
      </c>
      <c r="B264" s="2">
        <v>300</v>
      </c>
      <c r="C264" s="1">
        <v>300</v>
      </c>
      <c r="D264" s="1" t="s">
        <v>843</v>
      </c>
      <c r="E264" s="1">
        <v>11</v>
      </c>
      <c r="F264" s="3">
        <v>2800</v>
      </c>
      <c r="G264" s="1">
        <v>0</v>
      </c>
      <c r="H264" s="1" t="s">
        <v>844</v>
      </c>
      <c r="I264" s="1" t="s">
        <v>717</v>
      </c>
      <c r="J264" s="1" t="s">
        <v>16</v>
      </c>
      <c r="K264" s="1" t="s">
        <v>816</v>
      </c>
      <c r="L264" s="1" t="s">
        <v>651</v>
      </c>
      <c r="M264">
        <f t="shared" si="28"/>
        <v>300</v>
      </c>
      <c r="N264" t="str">
        <f t="shared" si="29"/>
        <v>1956-04-05</v>
      </c>
      <c r="O264">
        <f t="shared" si="30"/>
        <v>55</v>
      </c>
      <c r="P264" t="str">
        <f t="shared" si="31"/>
        <v>kobieta</v>
      </c>
      <c r="Q264">
        <f t="shared" si="32"/>
        <v>10</v>
      </c>
      <c r="R264">
        <f t="shared" si="33"/>
        <v>48</v>
      </c>
      <c r="S264">
        <f t="shared" ca="1" si="34"/>
        <v>0</v>
      </c>
    </row>
    <row r="265" spans="1:19">
      <c r="A265" s="1" t="s">
        <v>24</v>
      </c>
      <c r="B265" s="2">
        <v>1000</v>
      </c>
      <c r="C265" s="1">
        <v>0</v>
      </c>
      <c r="D265" s="1" t="s">
        <v>845</v>
      </c>
      <c r="E265" s="1">
        <v>11</v>
      </c>
      <c r="F265" s="3">
        <v>1629</v>
      </c>
      <c r="G265" s="1">
        <v>0</v>
      </c>
      <c r="H265" s="1" t="s">
        <v>846</v>
      </c>
      <c r="I265" s="1" t="s">
        <v>847</v>
      </c>
      <c r="J265" s="1" t="s">
        <v>16</v>
      </c>
      <c r="K265" s="1" t="s">
        <v>16</v>
      </c>
      <c r="L265" s="1" t="s">
        <v>28</v>
      </c>
      <c r="M265">
        <f t="shared" si="28"/>
        <v>1000</v>
      </c>
      <c r="N265" t="str">
        <f t="shared" si="29"/>
        <v>1983-04-09</v>
      </c>
      <c r="O265">
        <f t="shared" si="30"/>
        <v>28</v>
      </c>
      <c r="P265" t="str">
        <f t="shared" si="31"/>
        <v>mężczyzna</v>
      </c>
      <c r="Q265">
        <f t="shared" si="32"/>
        <v>50</v>
      </c>
      <c r="R265">
        <f t="shared" si="33"/>
        <v>48</v>
      </c>
      <c r="S265">
        <f t="shared" ca="1" si="34"/>
        <v>0</v>
      </c>
    </row>
    <row r="266" spans="1:19">
      <c r="A266" s="1" t="s">
        <v>19</v>
      </c>
      <c r="B266" s="2">
        <v>465.37</v>
      </c>
      <c r="C266" s="1">
        <v>465.37</v>
      </c>
      <c r="D266" s="1" t="s">
        <v>848</v>
      </c>
      <c r="E266" s="1">
        <v>98</v>
      </c>
      <c r="F266" s="3">
        <v>4000</v>
      </c>
      <c r="G266" s="1">
        <v>5</v>
      </c>
      <c r="H266" s="1" t="s">
        <v>849</v>
      </c>
      <c r="I266" s="1" t="s">
        <v>850</v>
      </c>
      <c r="J266" s="1" t="s">
        <v>16</v>
      </c>
      <c r="K266" s="1" t="s">
        <v>816</v>
      </c>
      <c r="L266" s="1" t="s">
        <v>657</v>
      </c>
      <c r="M266">
        <f t="shared" si="28"/>
        <v>465.37</v>
      </c>
      <c r="N266" t="str">
        <f t="shared" si="29"/>
        <v>1976-01-19</v>
      </c>
      <c r="O266">
        <f t="shared" si="30"/>
        <v>35</v>
      </c>
      <c r="P266" t="str">
        <f t="shared" si="31"/>
        <v>kobieta</v>
      </c>
      <c r="Q266">
        <f t="shared" si="32"/>
        <v>20</v>
      </c>
      <c r="R266">
        <f t="shared" si="33"/>
        <v>48</v>
      </c>
      <c r="S266">
        <f t="shared" ca="1" si="34"/>
        <v>9</v>
      </c>
    </row>
    <row r="267" spans="1:19">
      <c r="A267" s="1" t="s">
        <v>19</v>
      </c>
      <c r="B267" s="2">
        <v>600</v>
      </c>
      <c r="C267" s="1">
        <v>500</v>
      </c>
      <c r="D267" s="1" t="s">
        <v>851</v>
      </c>
      <c r="E267" s="1">
        <v>11</v>
      </c>
      <c r="F267" s="3">
        <v>1850</v>
      </c>
      <c r="G267" s="1">
        <v>0</v>
      </c>
      <c r="H267" s="1" t="s">
        <v>852</v>
      </c>
      <c r="I267" s="1" t="s">
        <v>214</v>
      </c>
      <c r="J267" s="1" t="s">
        <v>16</v>
      </c>
      <c r="K267" s="1" t="s">
        <v>816</v>
      </c>
      <c r="L267" s="1" t="s">
        <v>215</v>
      </c>
      <c r="M267">
        <f t="shared" si="28"/>
        <v>500</v>
      </c>
      <c r="N267" t="str">
        <f t="shared" si="29"/>
        <v>1976-05-30</v>
      </c>
      <c r="O267">
        <f t="shared" si="30"/>
        <v>35</v>
      </c>
      <c r="P267" t="str">
        <f t="shared" si="31"/>
        <v>mężczyzna</v>
      </c>
      <c r="Q267">
        <f t="shared" si="32"/>
        <v>56</v>
      </c>
      <c r="R267">
        <f t="shared" si="33"/>
        <v>48</v>
      </c>
      <c r="S267">
        <f t="shared" ca="1" si="34"/>
        <v>3</v>
      </c>
    </row>
    <row r="268" spans="1:19">
      <c r="A268" s="1" t="s">
        <v>19</v>
      </c>
      <c r="B268" s="2">
        <v>600</v>
      </c>
      <c r="C268" s="1">
        <v>600</v>
      </c>
      <c r="D268" s="1" t="s">
        <v>853</v>
      </c>
      <c r="E268" s="1">
        <v>16</v>
      </c>
      <c r="F268" s="3">
        <v>2300</v>
      </c>
      <c r="G268" s="1">
        <v>6</v>
      </c>
      <c r="H268" s="1" t="s">
        <v>854</v>
      </c>
      <c r="I268" s="1" t="s">
        <v>855</v>
      </c>
      <c r="J268" s="1" t="s">
        <v>16</v>
      </c>
      <c r="K268" s="1" t="s">
        <v>816</v>
      </c>
      <c r="L268" s="1" t="s">
        <v>380</v>
      </c>
      <c r="M268">
        <f t="shared" si="28"/>
        <v>600</v>
      </c>
      <c r="N268" t="str">
        <f t="shared" si="29"/>
        <v>1956-06-30</v>
      </c>
      <c r="O268">
        <f t="shared" si="30"/>
        <v>55</v>
      </c>
      <c r="P268" t="str">
        <f t="shared" si="31"/>
        <v>kobieta</v>
      </c>
      <c r="Q268">
        <f t="shared" si="32"/>
        <v>64</v>
      </c>
      <c r="R268">
        <f t="shared" si="33"/>
        <v>48</v>
      </c>
      <c r="S268">
        <f t="shared" ca="1" si="34"/>
        <v>0</v>
      </c>
    </row>
    <row r="269" spans="1:19">
      <c r="A269" s="1" t="s">
        <v>19</v>
      </c>
      <c r="B269" s="2">
        <v>600</v>
      </c>
      <c r="C269" s="1">
        <v>600</v>
      </c>
      <c r="D269" s="1" t="s">
        <v>856</v>
      </c>
      <c r="E269" s="1">
        <v>11</v>
      </c>
      <c r="F269" s="3">
        <v>2100</v>
      </c>
      <c r="G269" s="1">
        <v>0</v>
      </c>
      <c r="H269" s="1" t="s">
        <v>857</v>
      </c>
      <c r="I269" s="1" t="s">
        <v>858</v>
      </c>
      <c r="J269" s="1" t="s">
        <v>16</v>
      </c>
      <c r="K269" s="1" t="s">
        <v>816</v>
      </c>
      <c r="L269" s="1" t="s">
        <v>380</v>
      </c>
      <c r="M269">
        <f t="shared" si="28"/>
        <v>600</v>
      </c>
      <c r="N269" t="str">
        <f t="shared" si="29"/>
        <v>1984-03-11</v>
      </c>
      <c r="O269">
        <f t="shared" si="30"/>
        <v>27</v>
      </c>
      <c r="P269" t="str">
        <f t="shared" si="31"/>
        <v>kobieta</v>
      </c>
      <c r="Q269">
        <f t="shared" si="32"/>
        <v>24</v>
      </c>
      <c r="R269">
        <f t="shared" si="33"/>
        <v>48</v>
      </c>
      <c r="S269">
        <f t="shared" ca="1" si="34"/>
        <v>0</v>
      </c>
    </row>
    <row r="270" spans="1:19">
      <c r="A270" s="1" t="s">
        <v>19</v>
      </c>
      <c r="B270" s="2">
        <v>1000</v>
      </c>
      <c r="C270" s="1">
        <v>1000</v>
      </c>
      <c r="D270" s="1" t="s">
        <v>859</v>
      </c>
      <c r="E270" s="1">
        <v>98</v>
      </c>
      <c r="F270" s="3">
        <v>6000</v>
      </c>
      <c r="G270" s="1">
        <v>1</v>
      </c>
      <c r="H270" s="1" t="s">
        <v>860</v>
      </c>
      <c r="I270" s="1" t="s">
        <v>435</v>
      </c>
      <c r="J270" s="1" t="s">
        <v>16</v>
      </c>
      <c r="K270" s="1" t="s">
        <v>861</v>
      </c>
      <c r="L270" s="1" t="s">
        <v>677</v>
      </c>
      <c r="M270">
        <f t="shared" si="28"/>
        <v>1000</v>
      </c>
      <c r="N270" t="str">
        <f t="shared" si="29"/>
        <v>1970-07-23</v>
      </c>
      <c r="O270">
        <f t="shared" si="30"/>
        <v>41</v>
      </c>
      <c r="P270" t="str">
        <f t="shared" si="31"/>
        <v>kobieta</v>
      </c>
      <c r="Q270">
        <f t="shared" si="32"/>
        <v>18</v>
      </c>
      <c r="R270">
        <f t="shared" si="33"/>
        <v>48</v>
      </c>
      <c r="S270">
        <f t="shared" ca="1" si="34"/>
        <v>0</v>
      </c>
    </row>
    <row r="271" spans="1:19">
      <c r="A271" s="1" t="s">
        <v>12</v>
      </c>
      <c r="B271" s="2">
        <v>300</v>
      </c>
      <c r="C271" s="1">
        <v>300</v>
      </c>
      <c r="D271" s="1" t="s">
        <v>862</v>
      </c>
      <c r="E271" s="1">
        <v>13</v>
      </c>
      <c r="F271" s="3">
        <v>1420</v>
      </c>
      <c r="G271" s="1">
        <v>1</v>
      </c>
      <c r="H271" s="1" t="s">
        <v>863</v>
      </c>
      <c r="I271" s="1" t="s">
        <v>864</v>
      </c>
      <c r="J271" s="1" t="s">
        <v>16</v>
      </c>
      <c r="K271" s="1" t="s">
        <v>861</v>
      </c>
      <c r="L271" s="1" t="s">
        <v>670</v>
      </c>
      <c r="M271">
        <f t="shared" si="28"/>
        <v>300</v>
      </c>
      <c r="N271" t="str">
        <f t="shared" si="29"/>
        <v>1941-01-07</v>
      </c>
      <c r="O271">
        <f t="shared" si="30"/>
        <v>70</v>
      </c>
      <c r="P271" t="str">
        <f t="shared" si="31"/>
        <v>mężczyzna</v>
      </c>
      <c r="Q271">
        <f t="shared" si="32"/>
        <v>54</v>
      </c>
      <c r="R271">
        <f t="shared" si="33"/>
        <v>48</v>
      </c>
      <c r="S271">
        <f t="shared" ca="1" si="34"/>
        <v>0</v>
      </c>
    </row>
    <row r="272" spans="1:19">
      <c r="A272" s="1" t="s">
        <v>19</v>
      </c>
      <c r="B272" s="2">
        <v>200</v>
      </c>
      <c r="C272" s="1">
        <v>200</v>
      </c>
      <c r="D272" s="1" t="s">
        <v>865</v>
      </c>
      <c r="E272" s="1">
        <v>11</v>
      </c>
      <c r="F272" s="3">
        <v>1344.9</v>
      </c>
      <c r="G272" s="1">
        <v>4</v>
      </c>
      <c r="H272" s="1" t="s">
        <v>866</v>
      </c>
      <c r="I272" s="1" t="s">
        <v>867</v>
      </c>
      <c r="J272" s="1" t="s">
        <v>16</v>
      </c>
      <c r="K272" s="1" t="s">
        <v>861</v>
      </c>
      <c r="L272" s="1" t="s">
        <v>638</v>
      </c>
      <c r="M272">
        <f t="shared" si="28"/>
        <v>200</v>
      </c>
      <c r="N272" t="str">
        <f t="shared" si="29"/>
        <v>1966-11-24</v>
      </c>
      <c r="O272">
        <f t="shared" si="30"/>
        <v>45</v>
      </c>
      <c r="P272" t="str">
        <f t="shared" si="31"/>
        <v>kobieta</v>
      </c>
      <c r="Q272">
        <f t="shared" si="32"/>
        <v>47</v>
      </c>
      <c r="R272">
        <f t="shared" si="33"/>
        <v>48</v>
      </c>
      <c r="S272">
        <f t="shared" ca="1" si="34"/>
        <v>2</v>
      </c>
    </row>
    <row r="273" spans="1:19">
      <c r="A273" s="1" t="s">
        <v>12</v>
      </c>
      <c r="B273" s="2">
        <v>200.56</v>
      </c>
      <c r="C273" s="1">
        <v>200.56</v>
      </c>
      <c r="D273" s="1" t="s">
        <v>868</v>
      </c>
      <c r="E273" s="1">
        <v>13</v>
      </c>
      <c r="F273" s="3">
        <v>1107</v>
      </c>
      <c r="G273" s="1">
        <v>0</v>
      </c>
      <c r="H273" s="1" t="s">
        <v>869</v>
      </c>
      <c r="I273" s="1" t="s">
        <v>870</v>
      </c>
      <c r="J273" s="1" t="s">
        <v>16</v>
      </c>
      <c r="K273" s="1" t="s">
        <v>861</v>
      </c>
      <c r="L273" s="1" t="s">
        <v>677</v>
      </c>
      <c r="M273">
        <f t="shared" si="28"/>
        <v>200.56</v>
      </c>
      <c r="N273" t="str">
        <f t="shared" si="29"/>
        <v>1951-06-04</v>
      </c>
      <c r="O273">
        <f t="shared" si="30"/>
        <v>60</v>
      </c>
      <c r="P273" t="str">
        <f t="shared" si="31"/>
        <v>kobieta</v>
      </c>
      <c r="Q273">
        <f t="shared" si="32"/>
        <v>16</v>
      </c>
      <c r="R273">
        <f t="shared" si="33"/>
        <v>48</v>
      </c>
      <c r="S273">
        <f t="shared" ca="1" si="34"/>
        <v>0</v>
      </c>
    </row>
    <row r="274" spans="1:19">
      <c r="A274" s="1" t="s">
        <v>19</v>
      </c>
      <c r="B274" s="2">
        <v>300</v>
      </c>
      <c r="C274" s="1">
        <v>300</v>
      </c>
      <c r="D274" s="1" t="s">
        <v>871</v>
      </c>
      <c r="E274" s="1">
        <v>13</v>
      </c>
      <c r="F274" s="3">
        <v>1772.53</v>
      </c>
      <c r="G274" s="1">
        <v>2</v>
      </c>
      <c r="H274" s="1" t="s">
        <v>872</v>
      </c>
      <c r="I274" s="1" t="s">
        <v>873</v>
      </c>
      <c r="J274" s="1" t="s">
        <v>16</v>
      </c>
      <c r="K274" s="1" t="s">
        <v>861</v>
      </c>
      <c r="L274" s="1" t="s">
        <v>638</v>
      </c>
      <c r="M274">
        <f t="shared" si="28"/>
        <v>300</v>
      </c>
      <c r="N274" t="str">
        <f t="shared" si="29"/>
        <v>1940-06-22</v>
      </c>
      <c r="O274">
        <f t="shared" si="30"/>
        <v>71</v>
      </c>
      <c r="P274" t="str">
        <f t="shared" si="31"/>
        <v>mężczyzna</v>
      </c>
      <c r="Q274">
        <f t="shared" si="32"/>
        <v>281</v>
      </c>
      <c r="R274">
        <f t="shared" si="33"/>
        <v>48</v>
      </c>
      <c r="S274">
        <f t="shared" ca="1" si="34"/>
        <v>2</v>
      </c>
    </row>
    <row r="275" spans="1:19">
      <c r="A275" s="1" t="s">
        <v>19</v>
      </c>
      <c r="B275" s="2">
        <v>400</v>
      </c>
      <c r="C275" s="1">
        <v>400</v>
      </c>
      <c r="D275" s="1" t="s">
        <v>874</v>
      </c>
      <c r="E275" s="1">
        <v>11</v>
      </c>
      <c r="F275" s="3">
        <v>980.11</v>
      </c>
      <c r="G275" s="1">
        <v>2</v>
      </c>
      <c r="H275" s="1" t="s">
        <v>875</v>
      </c>
      <c r="I275" s="1" t="s">
        <v>876</v>
      </c>
      <c r="J275" s="1" t="s">
        <v>16</v>
      </c>
      <c r="K275" s="1" t="s">
        <v>861</v>
      </c>
      <c r="L275" s="1" t="s">
        <v>877</v>
      </c>
      <c r="M275">
        <f t="shared" si="28"/>
        <v>400</v>
      </c>
      <c r="N275" t="str">
        <f t="shared" si="29"/>
        <v>1977-07-20</v>
      </c>
      <c r="O275">
        <f t="shared" si="30"/>
        <v>34</v>
      </c>
      <c r="P275" t="str">
        <f t="shared" si="31"/>
        <v>kobieta</v>
      </c>
      <c r="Q275">
        <f t="shared" si="32"/>
        <v>46</v>
      </c>
      <c r="R275">
        <f t="shared" si="33"/>
        <v>48</v>
      </c>
      <c r="S275">
        <f t="shared" ca="1" si="34"/>
        <v>8</v>
      </c>
    </row>
    <row r="276" spans="1:19">
      <c r="A276" s="1" t="s">
        <v>19</v>
      </c>
      <c r="B276" s="2">
        <v>622.85</v>
      </c>
      <c r="C276" s="1">
        <v>622.85</v>
      </c>
      <c r="D276" s="1" t="s">
        <v>878</v>
      </c>
      <c r="E276" s="1">
        <v>13</v>
      </c>
      <c r="F276" s="3">
        <v>3040</v>
      </c>
      <c r="G276" s="1">
        <v>1</v>
      </c>
      <c r="H276" s="1" t="s">
        <v>879</v>
      </c>
      <c r="I276" s="1" t="s">
        <v>880</v>
      </c>
      <c r="J276" s="1" t="s">
        <v>16</v>
      </c>
      <c r="K276" s="1" t="s">
        <v>861</v>
      </c>
      <c r="L276" s="1" t="s">
        <v>651</v>
      </c>
      <c r="M276">
        <f t="shared" si="28"/>
        <v>622.85</v>
      </c>
      <c r="N276" t="str">
        <f t="shared" si="29"/>
        <v>1946-11-27</v>
      </c>
      <c r="O276">
        <f t="shared" si="30"/>
        <v>65</v>
      </c>
      <c r="P276" t="str">
        <f t="shared" si="31"/>
        <v>mężczyzna</v>
      </c>
      <c r="Q276">
        <f t="shared" si="32"/>
        <v>202</v>
      </c>
      <c r="R276">
        <f t="shared" si="33"/>
        <v>48</v>
      </c>
      <c r="S276">
        <f t="shared" ca="1" si="34"/>
        <v>0</v>
      </c>
    </row>
    <row r="277" spans="1:19">
      <c r="A277" s="1" t="s">
        <v>19</v>
      </c>
      <c r="B277" s="2">
        <v>300</v>
      </c>
      <c r="C277" s="1">
        <v>300</v>
      </c>
      <c r="D277" s="1" t="s">
        <v>881</v>
      </c>
      <c r="E277" s="1">
        <v>16</v>
      </c>
      <c r="F277" s="3">
        <v>1235</v>
      </c>
      <c r="G277" s="1">
        <v>0</v>
      </c>
      <c r="H277" s="1" t="s">
        <v>882</v>
      </c>
      <c r="I277" s="1" t="s">
        <v>726</v>
      </c>
      <c r="J277" s="1" t="s">
        <v>16</v>
      </c>
      <c r="K277" s="1" t="s">
        <v>861</v>
      </c>
      <c r="L277" s="1" t="s">
        <v>380</v>
      </c>
      <c r="M277">
        <f t="shared" si="28"/>
        <v>300</v>
      </c>
      <c r="N277" t="str">
        <f t="shared" si="29"/>
        <v>1941-01-02</v>
      </c>
      <c r="O277">
        <f t="shared" si="30"/>
        <v>70</v>
      </c>
      <c r="P277" t="str">
        <f t="shared" si="31"/>
        <v>kobieta</v>
      </c>
      <c r="Q277">
        <f t="shared" si="32"/>
        <v>34</v>
      </c>
      <c r="R277">
        <f t="shared" si="33"/>
        <v>48</v>
      </c>
      <c r="S277">
        <f t="shared" ca="1" si="34"/>
        <v>0</v>
      </c>
    </row>
    <row r="278" spans="1:19">
      <c r="A278" s="1" t="s">
        <v>19</v>
      </c>
      <c r="B278" s="2">
        <v>300</v>
      </c>
      <c r="C278" s="1">
        <v>300</v>
      </c>
      <c r="D278" s="1" t="s">
        <v>883</v>
      </c>
      <c r="E278" s="1">
        <v>15</v>
      </c>
      <c r="F278" s="3">
        <v>1100.79</v>
      </c>
      <c r="G278" s="1">
        <v>0</v>
      </c>
      <c r="H278" s="1" t="s">
        <v>884</v>
      </c>
      <c r="I278" s="1" t="s">
        <v>885</v>
      </c>
      <c r="J278" s="1" t="s">
        <v>16</v>
      </c>
      <c r="K278" s="1" t="s">
        <v>861</v>
      </c>
      <c r="L278" s="1" t="s">
        <v>442</v>
      </c>
      <c r="M278">
        <f t="shared" si="28"/>
        <v>300</v>
      </c>
      <c r="N278" t="str">
        <f t="shared" si="29"/>
        <v>1949-01-19</v>
      </c>
      <c r="O278">
        <f t="shared" si="30"/>
        <v>62</v>
      </c>
      <c r="P278" t="str">
        <f t="shared" si="31"/>
        <v>mężczyzna</v>
      </c>
      <c r="Q278">
        <f t="shared" si="32"/>
        <v>91</v>
      </c>
      <c r="R278">
        <f t="shared" si="33"/>
        <v>48</v>
      </c>
      <c r="S278">
        <f t="shared" ca="1" si="34"/>
        <v>0</v>
      </c>
    </row>
    <row r="279" spans="1:19">
      <c r="A279" s="1" t="s">
        <v>19</v>
      </c>
      <c r="B279" s="2">
        <v>200</v>
      </c>
      <c r="C279" s="1">
        <v>200</v>
      </c>
      <c r="D279" s="1" t="s">
        <v>886</v>
      </c>
      <c r="E279" s="1">
        <v>13</v>
      </c>
      <c r="F279" s="3">
        <v>1162</v>
      </c>
      <c r="G279" s="1">
        <v>5</v>
      </c>
      <c r="H279" s="1" t="s">
        <v>887</v>
      </c>
      <c r="I279" s="1" t="s">
        <v>888</v>
      </c>
      <c r="J279" s="1" t="s">
        <v>16</v>
      </c>
      <c r="K279" s="1" t="s">
        <v>861</v>
      </c>
      <c r="L279" s="1" t="s">
        <v>677</v>
      </c>
      <c r="M279">
        <f t="shared" si="28"/>
        <v>200</v>
      </c>
      <c r="N279" t="str">
        <f t="shared" si="29"/>
        <v>1949-02-21</v>
      </c>
      <c r="O279">
        <f t="shared" si="30"/>
        <v>62</v>
      </c>
      <c r="P279" t="str">
        <f t="shared" si="31"/>
        <v>mężczyzna</v>
      </c>
      <c r="Q279">
        <f t="shared" si="32"/>
        <v>222</v>
      </c>
      <c r="R279">
        <f t="shared" si="33"/>
        <v>48</v>
      </c>
      <c r="S279">
        <f t="shared" ca="1" si="34"/>
        <v>0</v>
      </c>
    </row>
    <row r="280" spans="1:19">
      <c r="A280" s="1" t="s">
        <v>19</v>
      </c>
      <c r="B280" s="2">
        <v>200</v>
      </c>
      <c r="C280" s="1">
        <v>200</v>
      </c>
      <c r="D280" s="1" t="s">
        <v>889</v>
      </c>
      <c r="E280" s="1">
        <v>13</v>
      </c>
      <c r="F280" s="3">
        <v>1635</v>
      </c>
      <c r="G280" s="1">
        <v>5</v>
      </c>
      <c r="H280" s="1" t="s">
        <v>890</v>
      </c>
      <c r="I280" s="1" t="s">
        <v>891</v>
      </c>
      <c r="J280" s="1" t="s">
        <v>16</v>
      </c>
      <c r="K280" s="1" t="s">
        <v>861</v>
      </c>
      <c r="L280" s="1" t="s">
        <v>677</v>
      </c>
      <c r="M280">
        <f t="shared" si="28"/>
        <v>200</v>
      </c>
      <c r="N280" t="str">
        <f t="shared" si="29"/>
        <v>1951-06-12</v>
      </c>
      <c r="O280">
        <f t="shared" si="30"/>
        <v>60</v>
      </c>
      <c r="P280" t="str">
        <f t="shared" si="31"/>
        <v>kobieta</v>
      </c>
      <c r="Q280">
        <f t="shared" si="32"/>
        <v>121</v>
      </c>
      <c r="R280">
        <f t="shared" si="33"/>
        <v>48</v>
      </c>
      <c r="S280">
        <f t="shared" ca="1" si="34"/>
        <v>0</v>
      </c>
    </row>
    <row r="281" spans="1:19">
      <c r="A281" s="1" t="s">
        <v>12</v>
      </c>
      <c r="B281" s="2">
        <v>300</v>
      </c>
      <c r="C281" s="1">
        <v>300</v>
      </c>
      <c r="D281" s="1" t="s">
        <v>892</v>
      </c>
      <c r="E281" s="1">
        <v>13</v>
      </c>
      <c r="F281" s="3">
        <v>917</v>
      </c>
      <c r="G281" s="1">
        <v>3</v>
      </c>
      <c r="H281" s="1" t="s">
        <v>893</v>
      </c>
      <c r="I281" s="1" t="s">
        <v>894</v>
      </c>
      <c r="J281" s="1" t="s">
        <v>16</v>
      </c>
      <c r="K281" s="1" t="s">
        <v>861</v>
      </c>
      <c r="L281" s="1" t="s">
        <v>585</v>
      </c>
      <c r="M281">
        <f t="shared" si="28"/>
        <v>300</v>
      </c>
      <c r="N281" t="str">
        <f t="shared" si="29"/>
        <v>1948-09-19</v>
      </c>
      <c r="O281">
        <f t="shared" si="30"/>
        <v>63</v>
      </c>
      <c r="P281" t="str">
        <f t="shared" si="31"/>
        <v>kobieta</v>
      </c>
      <c r="Q281">
        <f t="shared" si="32"/>
        <v>77</v>
      </c>
      <c r="R281">
        <f t="shared" si="33"/>
        <v>48</v>
      </c>
      <c r="S281">
        <f t="shared" ca="1" si="34"/>
        <v>4</v>
      </c>
    </row>
    <row r="282" spans="1:19">
      <c r="A282" s="1" t="s">
        <v>12</v>
      </c>
      <c r="B282" s="2">
        <v>400</v>
      </c>
      <c r="C282" s="1">
        <v>300</v>
      </c>
      <c r="D282" s="1" t="s">
        <v>895</v>
      </c>
      <c r="E282" s="1">
        <v>13</v>
      </c>
      <c r="F282" s="3">
        <v>1019</v>
      </c>
      <c r="G282" s="1">
        <v>0</v>
      </c>
      <c r="H282" s="1" t="s">
        <v>896</v>
      </c>
      <c r="I282" s="1" t="s">
        <v>897</v>
      </c>
      <c r="J282" s="1" t="s">
        <v>16</v>
      </c>
      <c r="K282" s="1" t="s">
        <v>861</v>
      </c>
      <c r="L282" s="1" t="s">
        <v>380</v>
      </c>
      <c r="M282">
        <f t="shared" si="28"/>
        <v>300</v>
      </c>
      <c r="N282" t="str">
        <f t="shared" si="29"/>
        <v>1943-03-20</v>
      </c>
      <c r="O282">
        <f t="shared" si="30"/>
        <v>68</v>
      </c>
      <c r="P282" t="str">
        <f t="shared" si="31"/>
        <v>kobieta</v>
      </c>
      <c r="Q282">
        <f t="shared" si="32"/>
        <v>134</v>
      </c>
      <c r="R282">
        <f t="shared" si="33"/>
        <v>48</v>
      </c>
      <c r="S282">
        <f t="shared" ca="1" si="34"/>
        <v>0</v>
      </c>
    </row>
    <row r="283" spans="1:19">
      <c r="A283" s="1" t="s">
        <v>19</v>
      </c>
      <c r="B283" s="2">
        <v>400</v>
      </c>
      <c r="C283" s="1">
        <v>400</v>
      </c>
      <c r="D283" s="1" t="s">
        <v>898</v>
      </c>
      <c r="E283" s="1">
        <v>16</v>
      </c>
      <c r="F283" s="3">
        <v>1411</v>
      </c>
      <c r="G283" s="1">
        <v>2</v>
      </c>
      <c r="H283" s="1" t="s">
        <v>899</v>
      </c>
      <c r="I283" s="1" t="s">
        <v>807</v>
      </c>
      <c r="J283" s="1" t="s">
        <v>16</v>
      </c>
      <c r="K283" s="1" t="s">
        <v>861</v>
      </c>
      <c r="L283" s="1" t="s">
        <v>215</v>
      </c>
      <c r="M283">
        <f t="shared" si="28"/>
        <v>400</v>
      </c>
      <c r="N283" t="str">
        <f t="shared" si="29"/>
        <v>1951-07-12</v>
      </c>
      <c r="O283">
        <f t="shared" si="30"/>
        <v>60</v>
      </c>
      <c r="P283" t="str">
        <f t="shared" si="31"/>
        <v>kobieta</v>
      </c>
      <c r="Q283">
        <f t="shared" si="32"/>
        <v>67</v>
      </c>
      <c r="R283">
        <f t="shared" si="33"/>
        <v>48</v>
      </c>
      <c r="S283">
        <f t="shared" ca="1" si="34"/>
        <v>1</v>
      </c>
    </row>
    <row r="284" spans="1:19">
      <c r="A284" s="1" t="s">
        <v>19</v>
      </c>
      <c r="B284" s="2">
        <v>284.19</v>
      </c>
      <c r="C284" s="1">
        <v>284.19</v>
      </c>
      <c r="D284" s="1" t="s">
        <v>900</v>
      </c>
      <c r="E284" s="1">
        <v>98</v>
      </c>
      <c r="F284" s="3">
        <v>1200</v>
      </c>
      <c r="G284" s="1">
        <v>5</v>
      </c>
      <c r="H284" s="1" t="s">
        <v>901</v>
      </c>
      <c r="I284" s="1" t="s">
        <v>902</v>
      </c>
      <c r="J284" s="1" t="s">
        <v>16</v>
      </c>
      <c r="K284" s="1" t="s">
        <v>861</v>
      </c>
      <c r="L284" s="1" t="s">
        <v>677</v>
      </c>
      <c r="M284">
        <f t="shared" si="28"/>
        <v>284.19</v>
      </c>
      <c r="N284" t="str">
        <f t="shared" si="29"/>
        <v>1973-10-31</v>
      </c>
      <c r="O284">
        <f t="shared" si="30"/>
        <v>38</v>
      </c>
      <c r="P284" t="str">
        <f t="shared" si="31"/>
        <v>kobieta</v>
      </c>
      <c r="Q284">
        <f t="shared" si="32"/>
        <v>47</v>
      </c>
      <c r="R284">
        <f t="shared" si="33"/>
        <v>48</v>
      </c>
      <c r="S284">
        <f t="shared" ca="1" si="34"/>
        <v>0</v>
      </c>
    </row>
    <row r="285" spans="1:19">
      <c r="A285" s="1" t="s">
        <v>19</v>
      </c>
      <c r="B285" s="2">
        <v>996</v>
      </c>
      <c r="C285" s="1">
        <v>996</v>
      </c>
      <c r="D285" s="1" t="s">
        <v>903</v>
      </c>
      <c r="E285" s="1">
        <v>11</v>
      </c>
      <c r="F285" s="3">
        <v>2500</v>
      </c>
      <c r="G285" s="1">
        <v>1</v>
      </c>
      <c r="H285" s="1" t="s">
        <v>904</v>
      </c>
      <c r="I285" s="1" t="s">
        <v>905</v>
      </c>
      <c r="J285" s="1" t="s">
        <v>16</v>
      </c>
      <c r="K285" s="1" t="s">
        <v>861</v>
      </c>
      <c r="L285" s="1" t="s">
        <v>215</v>
      </c>
      <c r="M285">
        <f t="shared" si="28"/>
        <v>996</v>
      </c>
      <c r="N285" t="str">
        <f t="shared" si="29"/>
        <v>1964-01-25</v>
      </c>
      <c r="O285">
        <f t="shared" si="30"/>
        <v>47</v>
      </c>
      <c r="P285" t="str">
        <f t="shared" si="31"/>
        <v>mężczyzna</v>
      </c>
      <c r="Q285">
        <f t="shared" si="32"/>
        <v>205</v>
      </c>
      <c r="R285">
        <f t="shared" si="33"/>
        <v>48</v>
      </c>
      <c r="S285">
        <f t="shared" ca="1" si="34"/>
        <v>1</v>
      </c>
    </row>
    <row r="286" spans="1:19">
      <c r="A286" s="1" t="s">
        <v>12</v>
      </c>
      <c r="B286" s="2">
        <v>300</v>
      </c>
      <c r="C286" s="1">
        <v>300</v>
      </c>
      <c r="D286" s="1" t="s">
        <v>906</v>
      </c>
      <c r="E286" s="1">
        <v>12</v>
      </c>
      <c r="F286" s="3">
        <v>1800</v>
      </c>
      <c r="G286" s="1">
        <v>0</v>
      </c>
      <c r="H286" s="1" t="s">
        <v>907</v>
      </c>
      <c r="I286" s="1" t="s">
        <v>769</v>
      </c>
      <c r="J286" s="1" t="s">
        <v>63</v>
      </c>
      <c r="K286" s="1" t="s">
        <v>861</v>
      </c>
      <c r="L286" s="1" t="s">
        <v>35</v>
      </c>
      <c r="M286">
        <f t="shared" si="28"/>
        <v>300</v>
      </c>
      <c r="N286" t="str">
        <f t="shared" si="29"/>
        <v>1982-10-15</v>
      </c>
      <c r="O286">
        <f t="shared" si="30"/>
        <v>29</v>
      </c>
      <c r="P286" t="str">
        <f t="shared" si="31"/>
        <v>mężczyzna</v>
      </c>
      <c r="Q286">
        <f t="shared" si="32"/>
        <v>5</v>
      </c>
      <c r="R286">
        <f t="shared" si="33"/>
        <v>1</v>
      </c>
      <c r="S286">
        <f t="shared" ca="1" si="34"/>
        <v>0</v>
      </c>
    </row>
    <row r="287" spans="1:19">
      <c r="A287" s="1" t="s">
        <v>19</v>
      </c>
      <c r="B287" s="2">
        <v>300</v>
      </c>
      <c r="C287" s="1">
        <v>300</v>
      </c>
      <c r="D287" s="1" t="s">
        <v>908</v>
      </c>
      <c r="E287" s="1">
        <v>16</v>
      </c>
      <c r="F287" s="3">
        <v>1500</v>
      </c>
      <c r="G287" s="1">
        <v>0</v>
      </c>
      <c r="H287" s="1" t="s">
        <v>909</v>
      </c>
      <c r="I287" s="1" t="s">
        <v>910</v>
      </c>
      <c r="J287" s="1" t="s">
        <v>16</v>
      </c>
      <c r="K287" s="1" t="s">
        <v>861</v>
      </c>
      <c r="L287" s="1" t="s">
        <v>677</v>
      </c>
      <c r="M287">
        <f t="shared" si="28"/>
        <v>300</v>
      </c>
      <c r="N287" t="str">
        <f t="shared" si="29"/>
        <v>1957-12-30</v>
      </c>
      <c r="O287">
        <f t="shared" si="30"/>
        <v>54</v>
      </c>
      <c r="P287" t="str">
        <f t="shared" si="31"/>
        <v>kobieta</v>
      </c>
      <c r="Q287">
        <f t="shared" si="32"/>
        <v>3</v>
      </c>
      <c r="R287">
        <f t="shared" si="33"/>
        <v>48</v>
      </c>
      <c r="S287">
        <f t="shared" ca="1" si="34"/>
        <v>0</v>
      </c>
    </row>
    <row r="288" spans="1:19">
      <c r="A288" s="1" t="s">
        <v>19</v>
      </c>
      <c r="B288" s="2">
        <v>1000</v>
      </c>
      <c r="C288" s="1">
        <v>800</v>
      </c>
      <c r="D288" s="1" t="s">
        <v>911</v>
      </c>
      <c r="E288" s="1">
        <v>13</v>
      </c>
      <c r="F288" s="3">
        <v>2120</v>
      </c>
      <c r="G288" s="1">
        <v>0</v>
      </c>
      <c r="H288" s="1" t="s">
        <v>912</v>
      </c>
      <c r="I288" s="1" t="s">
        <v>913</v>
      </c>
      <c r="J288" s="1" t="s">
        <v>16</v>
      </c>
      <c r="K288" s="1" t="s">
        <v>861</v>
      </c>
      <c r="L288" s="1" t="s">
        <v>670</v>
      </c>
      <c r="M288">
        <f t="shared" si="28"/>
        <v>800</v>
      </c>
      <c r="N288" t="str">
        <f t="shared" si="29"/>
        <v>1943-11-21</v>
      </c>
      <c r="O288">
        <f t="shared" si="30"/>
        <v>68</v>
      </c>
      <c r="P288" t="str">
        <f t="shared" si="31"/>
        <v>kobieta</v>
      </c>
      <c r="Q288">
        <f t="shared" si="32"/>
        <v>120</v>
      </c>
      <c r="R288">
        <f t="shared" si="33"/>
        <v>48</v>
      </c>
      <c r="S288">
        <f t="shared" ca="1" si="34"/>
        <v>0</v>
      </c>
    </row>
    <row r="289" spans="1:19">
      <c r="A289" s="1" t="s">
        <v>19</v>
      </c>
      <c r="B289" s="2">
        <v>300</v>
      </c>
      <c r="C289" s="1">
        <v>300</v>
      </c>
      <c r="D289" s="1" t="s">
        <v>914</v>
      </c>
      <c r="E289" s="1">
        <v>11</v>
      </c>
      <c r="F289" s="3">
        <v>1738.57</v>
      </c>
      <c r="G289" s="1">
        <v>0</v>
      </c>
      <c r="H289" s="1" t="s">
        <v>915</v>
      </c>
      <c r="I289" s="1" t="s">
        <v>916</v>
      </c>
      <c r="J289" s="1" t="s">
        <v>16</v>
      </c>
      <c r="K289" s="1" t="s">
        <v>861</v>
      </c>
      <c r="L289" s="1" t="s">
        <v>313</v>
      </c>
      <c r="M289">
        <f t="shared" si="28"/>
        <v>300</v>
      </c>
      <c r="N289" t="str">
        <f t="shared" si="29"/>
        <v>1968-01-25</v>
      </c>
      <c r="O289">
        <f t="shared" si="30"/>
        <v>43</v>
      </c>
      <c r="P289" t="str">
        <f t="shared" si="31"/>
        <v>kobieta</v>
      </c>
      <c r="Q289">
        <f t="shared" si="32"/>
        <v>58</v>
      </c>
      <c r="R289">
        <f t="shared" si="33"/>
        <v>48</v>
      </c>
      <c r="S289">
        <f t="shared" ca="1" si="34"/>
        <v>3</v>
      </c>
    </row>
    <row r="290" spans="1:19">
      <c r="A290" s="1" t="s">
        <v>56</v>
      </c>
      <c r="B290" s="2">
        <v>300</v>
      </c>
      <c r="C290" s="1">
        <v>300</v>
      </c>
      <c r="D290" s="1" t="s">
        <v>917</v>
      </c>
      <c r="E290" s="1">
        <v>12</v>
      </c>
      <c r="F290" s="3">
        <v>1030</v>
      </c>
      <c r="G290" s="1">
        <v>0</v>
      </c>
      <c r="H290" s="1" t="s">
        <v>918</v>
      </c>
      <c r="I290" s="1" t="s">
        <v>717</v>
      </c>
      <c r="J290" s="1" t="s">
        <v>919</v>
      </c>
      <c r="K290" s="1" t="s">
        <v>861</v>
      </c>
      <c r="L290" s="1" t="s">
        <v>28</v>
      </c>
      <c r="M290">
        <f t="shared" si="28"/>
        <v>300</v>
      </c>
      <c r="N290" t="str">
        <f t="shared" si="29"/>
        <v>1960-05-04</v>
      </c>
      <c r="O290">
        <f t="shared" si="30"/>
        <v>51</v>
      </c>
      <c r="P290" t="str">
        <f t="shared" si="31"/>
        <v>mężczyzna</v>
      </c>
      <c r="Q290">
        <f t="shared" si="32"/>
        <v>10</v>
      </c>
      <c r="R290">
        <f t="shared" si="33"/>
        <v>48</v>
      </c>
      <c r="S290">
        <f t="shared" ca="1" si="34"/>
        <v>5251</v>
      </c>
    </row>
    <row r="291" spans="1:19">
      <c r="A291" s="1" t="s">
        <v>19</v>
      </c>
      <c r="B291" s="2">
        <v>300</v>
      </c>
      <c r="C291" s="1">
        <v>300</v>
      </c>
      <c r="D291" s="1" t="s">
        <v>920</v>
      </c>
      <c r="E291" s="1">
        <v>11</v>
      </c>
      <c r="F291" s="3">
        <v>2800</v>
      </c>
      <c r="G291" s="1">
        <v>5</v>
      </c>
      <c r="H291" s="1" t="s">
        <v>921</v>
      </c>
      <c r="I291" s="1" t="s">
        <v>922</v>
      </c>
      <c r="J291" s="1" t="s">
        <v>16</v>
      </c>
      <c r="K291" s="1" t="s">
        <v>861</v>
      </c>
      <c r="L291" s="1" t="s">
        <v>677</v>
      </c>
      <c r="M291">
        <f t="shared" si="28"/>
        <v>300</v>
      </c>
      <c r="N291" t="str">
        <f t="shared" si="29"/>
        <v>1957-10-22</v>
      </c>
      <c r="O291">
        <f t="shared" si="30"/>
        <v>54</v>
      </c>
      <c r="P291" t="str">
        <f t="shared" si="31"/>
        <v>kobieta</v>
      </c>
      <c r="Q291">
        <f t="shared" si="32"/>
        <v>61</v>
      </c>
      <c r="R291">
        <f t="shared" si="33"/>
        <v>48</v>
      </c>
      <c r="S291">
        <f t="shared" ca="1" si="34"/>
        <v>0</v>
      </c>
    </row>
    <row r="292" spans="1:19">
      <c r="A292" s="1" t="s">
        <v>19</v>
      </c>
      <c r="B292" s="2">
        <v>1000</v>
      </c>
      <c r="C292" s="1">
        <v>1000</v>
      </c>
      <c r="D292" s="1" t="s">
        <v>923</v>
      </c>
      <c r="E292" s="1">
        <v>13</v>
      </c>
      <c r="F292" s="3">
        <v>2474</v>
      </c>
      <c r="G292" s="1">
        <v>0</v>
      </c>
      <c r="H292" s="1" t="s">
        <v>924</v>
      </c>
      <c r="I292" s="1" t="s">
        <v>925</v>
      </c>
      <c r="J292" s="1" t="s">
        <v>16</v>
      </c>
      <c r="K292" s="1" t="s">
        <v>861</v>
      </c>
      <c r="L292" s="1" t="s">
        <v>638</v>
      </c>
      <c r="M292">
        <f t="shared" si="28"/>
        <v>1000</v>
      </c>
      <c r="N292" t="str">
        <f t="shared" si="29"/>
        <v>1949-02-26</v>
      </c>
      <c r="O292">
        <f t="shared" si="30"/>
        <v>62</v>
      </c>
      <c r="P292" t="str">
        <f t="shared" si="31"/>
        <v>mężczyzna</v>
      </c>
      <c r="Q292">
        <f t="shared" si="32"/>
        <v>16</v>
      </c>
      <c r="R292">
        <f t="shared" si="33"/>
        <v>48</v>
      </c>
      <c r="S292">
        <f t="shared" ca="1" si="34"/>
        <v>2</v>
      </c>
    </row>
    <row r="293" spans="1:19">
      <c r="A293" s="1" t="s">
        <v>19</v>
      </c>
      <c r="B293" s="2">
        <v>530</v>
      </c>
      <c r="C293" s="1">
        <v>530</v>
      </c>
      <c r="D293" s="1" t="s">
        <v>926</v>
      </c>
      <c r="E293" s="1">
        <v>11</v>
      </c>
      <c r="F293" s="3">
        <v>2050</v>
      </c>
      <c r="G293" s="1">
        <v>0</v>
      </c>
      <c r="H293" s="1" t="s">
        <v>927</v>
      </c>
      <c r="I293" s="1" t="s">
        <v>928</v>
      </c>
      <c r="J293" s="1" t="s">
        <v>16</v>
      </c>
      <c r="K293" s="1" t="s">
        <v>861</v>
      </c>
      <c r="L293" s="1" t="s">
        <v>657</v>
      </c>
      <c r="M293">
        <f t="shared" si="28"/>
        <v>530</v>
      </c>
      <c r="N293" t="str">
        <f t="shared" si="29"/>
        <v>1979-02-13</v>
      </c>
      <c r="O293">
        <f t="shared" si="30"/>
        <v>32</v>
      </c>
      <c r="P293" t="str">
        <f t="shared" si="31"/>
        <v>mężczyzna</v>
      </c>
      <c r="Q293">
        <f t="shared" si="32"/>
        <v>119</v>
      </c>
      <c r="R293">
        <f t="shared" si="33"/>
        <v>48</v>
      </c>
      <c r="S293">
        <f t="shared" ca="1" si="34"/>
        <v>7</v>
      </c>
    </row>
    <row r="294" spans="1:19">
      <c r="A294" s="1" t="s">
        <v>19</v>
      </c>
      <c r="B294" s="2">
        <v>300</v>
      </c>
      <c r="C294" s="1">
        <v>300</v>
      </c>
      <c r="D294" s="1" t="s">
        <v>929</v>
      </c>
      <c r="E294" s="1">
        <v>13</v>
      </c>
      <c r="F294" s="3">
        <v>1000</v>
      </c>
      <c r="G294" s="1">
        <v>2</v>
      </c>
      <c r="H294" s="1" t="s">
        <v>930</v>
      </c>
      <c r="I294" s="1" t="s">
        <v>266</v>
      </c>
      <c r="J294" s="1" t="s">
        <v>16</v>
      </c>
      <c r="K294" s="1" t="s">
        <v>931</v>
      </c>
      <c r="L294" s="1" t="s">
        <v>638</v>
      </c>
      <c r="M294">
        <f t="shared" si="28"/>
        <v>300</v>
      </c>
      <c r="N294" t="str">
        <f t="shared" si="29"/>
        <v>1941-01-26</v>
      </c>
      <c r="O294">
        <f t="shared" si="30"/>
        <v>70</v>
      </c>
      <c r="P294" t="str">
        <f t="shared" si="31"/>
        <v>kobieta</v>
      </c>
      <c r="Q294">
        <f t="shared" si="32"/>
        <v>65</v>
      </c>
      <c r="R294">
        <f t="shared" si="33"/>
        <v>48</v>
      </c>
      <c r="S294">
        <f t="shared" ca="1" si="34"/>
        <v>0</v>
      </c>
    </row>
    <row r="295" spans="1:19">
      <c r="A295" s="1" t="s">
        <v>19</v>
      </c>
      <c r="B295" s="2">
        <v>200</v>
      </c>
      <c r="C295" s="1">
        <v>200</v>
      </c>
      <c r="D295" s="1" t="s">
        <v>932</v>
      </c>
      <c r="E295" s="1">
        <v>11</v>
      </c>
      <c r="F295" s="3">
        <v>2284.23</v>
      </c>
      <c r="G295" s="1">
        <v>0</v>
      </c>
      <c r="H295" s="1" t="s">
        <v>933</v>
      </c>
      <c r="I295" s="1" t="s">
        <v>934</v>
      </c>
      <c r="J295" s="1" t="s">
        <v>16</v>
      </c>
      <c r="K295" s="1" t="s">
        <v>931</v>
      </c>
      <c r="L295" s="1" t="s">
        <v>638</v>
      </c>
      <c r="M295">
        <f t="shared" si="28"/>
        <v>200</v>
      </c>
      <c r="N295" t="str">
        <f t="shared" si="29"/>
        <v>1968-10-04</v>
      </c>
      <c r="O295">
        <f t="shared" si="30"/>
        <v>43</v>
      </c>
      <c r="P295" t="str">
        <f t="shared" si="31"/>
        <v>mężczyzna</v>
      </c>
      <c r="Q295">
        <f t="shared" si="32"/>
        <v>301</v>
      </c>
      <c r="R295">
        <f t="shared" si="33"/>
        <v>48</v>
      </c>
      <c r="S295">
        <f t="shared" ca="1" si="34"/>
        <v>0</v>
      </c>
    </row>
    <row r="296" spans="1:19">
      <c r="A296" s="1" t="s">
        <v>56</v>
      </c>
      <c r="B296" s="2">
        <v>1000</v>
      </c>
      <c r="C296" s="1">
        <v>400</v>
      </c>
      <c r="D296" s="1" t="s">
        <v>935</v>
      </c>
      <c r="E296" s="1">
        <v>13</v>
      </c>
      <c r="F296" s="3">
        <v>2031</v>
      </c>
      <c r="G296" s="1">
        <v>0</v>
      </c>
      <c r="H296" s="1" t="s">
        <v>936</v>
      </c>
      <c r="I296" s="1" t="s">
        <v>937</v>
      </c>
      <c r="J296" s="1" t="s">
        <v>16</v>
      </c>
      <c r="K296" s="1" t="s">
        <v>931</v>
      </c>
      <c r="L296" s="1" t="s">
        <v>28</v>
      </c>
      <c r="M296">
        <f t="shared" si="28"/>
        <v>400</v>
      </c>
      <c r="N296" t="str">
        <f t="shared" si="29"/>
        <v>1953-06-11</v>
      </c>
      <c r="O296">
        <f t="shared" si="30"/>
        <v>58</v>
      </c>
      <c r="P296" t="str">
        <f t="shared" si="31"/>
        <v>mężczyzna</v>
      </c>
      <c r="Q296">
        <f t="shared" si="32"/>
        <v>159</v>
      </c>
      <c r="R296">
        <f t="shared" si="33"/>
        <v>48</v>
      </c>
      <c r="S296">
        <f t="shared" ca="1" si="34"/>
        <v>5249</v>
      </c>
    </row>
    <row r="297" spans="1:19">
      <c r="A297" s="1" t="s">
        <v>19</v>
      </c>
      <c r="B297" s="2">
        <v>250</v>
      </c>
      <c r="C297" s="1">
        <v>200</v>
      </c>
      <c r="D297" s="1" t="s">
        <v>267</v>
      </c>
      <c r="E297" s="1">
        <v>13</v>
      </c>
      <c r="F297" s="3">
        <v>1700</v>
      </c>
      <c r="G297" s="1">
        <v>0</v>
      </c>
      <c r="H297" s="1" t="s">
        <v>938</v>
      </c>
      <c r="I297" s="1" t="s">
        <v>15</v>
      </c>
      <c r="J297" s="1" t="s">
        <v>16</v>
      </c>
      <c r="K297" s="1" t="s">
        <v>931</v>
      </c>
      <c r="L297" s="1" t="s">
        <v>939</v>
      </c>
      <c r="M297">
        <f t="shared" si="28"/>
        <v>200</v>
      </c>
      <c r="N297" t="str">
        <f t="shared" si="29"/>
        <v>1939-10-16</v>
      </c>
      <c r="O297">
        <f t="shared" si="30"/>
        <v>72</v>
      </c>
      <c r="P297" t="str">
        <f t="shared" si="31"/>
        <v>mężczyzna</v>
      </c>
      <c r="Q297">
        <f t="shared" si="32"/>
        <v>15</v>
      </c>
      <c r="R297">
        <f t="shared" si="33"/>
        <v>48</v>
      </c>
      <c r="S297">
        <f t="shared" ca="1" si="34"/>
        <v>7</v>
      </c>
    </row>
    <row r="298" spans="1:19">
      <c r="A298" s="1" t="s">
        <v>12</v>
      </c>
      <c r="B298" s="2">
        <v>1000</v>
      </c>
      <c r="C298" s="1">
        <v>400</v>
      </c>
      <c r="D298" s="1" t="s">
        <v>940</v>
      </c>
      <c r="E298" s="1">
        <v>98</v>
      </c>
      <c r="F298" s="3">
        <v>4293</v>
      </c>
      <c r="G298" s="1">
        <v>0</v>
      </c>
      <c r="H298" s="1" t="s">
        <v>941</v>
      </c>
      <c r="I298" s="1" t="s">
        <v>942</v>
      </c>
      <c r="J298" s="1" t="s">
        <v>16</v>
      </c>
      <c r="K298" s="1" t="s">
        <v>931</v>
      </c>
      <c r="L298" s="1" t="s">
        <v>215</v>
      </c>
      <c r="M298">
        <f t="shared" si="28"/>
        <v>400</v>
      </c>
      <c r="N298" t="str">
        <f t="shared" si="29"/>
        <v>1960-03-30</v>
      </c>
      <c r="O298">
        <f t="shared" si="30"/>
        <v>51</v>
      </c>
      <c r="P298" t="str">
        <f t="shared" si="31"/>
        <v>mężczyzna</v>
      </c>
      <c r="Q298">
        <f t="shared" si="32"/>
        <v>179</v>
      </c>
      <c r="R298">
        <f t="shared" si="33"/>
        <v>48</v>
      </c>
      <c r="S298">
        <f t="shared" ca="1" si="34"/>
        <v>0</v>
      </c>
    </row>
    <row r="299" spans="1:19">
      <c r="A299" s="1" t="s">
        <v>12</v>
      </c>
      <c r="B299" s="2">
        <v>200</v>
      </c>
      <c r="C299" s="1">
        <v>200</v>
      </c>
      <c r="D299" s="1" t="s">
        <v>943</v>
      </c>
      <c r="E299" s="1">
        <v>11</v>
      </c>
      <c r="F299" s="3">
        <v>3641</v>
      </c>
      <c r="G299" s="1">
        <v>0</v>
      </c>
      <c r="H299" s="1" t="s">
        <v>944</v>
      </c>
      <c r="I299" s="1" t="s">
        <v>945</v>
      </c>
      <c r="J299" s="1" t="s">
        <v>16</v>
      </c>
      <c r="K299" s="1" t="s">
        <v>931</v>
      </c>
      <c r="L299" s="1" t="s">
        <v>70</v>
      </c>
      <c r="M299">
        <f t="shared" si="28"/>
        <v>200</v>
      </c>
      <c r="N299" t="str">
        <f t="shared" si="29"/>
        <v>1958-06-04</v>
      </c>
      <c r="O299">
        <f t="shared" si="30"/>
        <v>53</v>
      </c>
      <c r="P299" t="str">
        <f t="shared" si="31"/>
        <v>kobieta</v>
      </c>
      <c r="Q299">
        <f t="shared" si="32"/>
        <v>144</v>
      </c>
      <c r="R299">
        <f t="shared" si="33"/>
        <v>48</v>
      </c>
      <c r="S299">
        <f t="shared" ca="1" si="34"/>
        <v>0</v>
      </c>
    </row>
    <row r="300" spans="1:19">
      <c r="A300" s="1" t="s">
        <v>19</v>
      </c>
      <c r="B300" s="2">
        <v>399.72</v>
      </c>
      <c r="C300" s="1">
        <v>399.72</v>
      </c>
      <c r="D300" s="1" t="s">
        <v>420</v>
      </c>
      <c r="E300" s="1">
        <v>13</v>
      </c>
      <c r="F300" s="3">
        <v>714</v>
      </c>
      <c r="G300" s="1">
        <v>6</v>
      </c>
      <c r="H300" s="1" t="s">
        <v>946</v>
      </c>
      <c r="I300" s="1" t="s">
        <v>422</v>
      </c>
      <c r="J300" s="1" t="s">
        <v>16</v>
      </c>
      <c r="K300" s="1" t="s">
        <v>931</v>
      </c>
      <c r="L300" s="1" t="s">
        <v>638</v>
      </c>
      <c r="M300">
        <f t="shared" si="28"/>
        <v>399.72</v>
      </c>
      <c r="N300" t="str">
        <f t="shared" si="29"/>
        <v>1949-07-16</v>
      </c>
      <c r="O300">
        <f t="shared" si="30"/>
        <v>62</v>
      </c>
      <c r="P300" t="str">
        <f t="shared" si="31"/>
        <v>kobieta</v>
      </c>
      <c r="Q300">
        <f t="shared" si="32"/>
        <v>223</v>
      </c>
      <c r="R300">
        <f t="shared" si="33"/>
        <v>48</v>
      </c>
      <c r="S300">
        <f t="shared" ca="1" si="34"/>
        <v>0</v>
      </c>
    </row>
    <row r="301" spans="1:19">
      <c r="A301" s="1" t="s">
        <v>12</v>
      </c>
      <c r="B301" s="2">
        <v>250</v>
      </c>
      <c r="C301" s="1">
        <v>250</v>
      </c>
      <c r="D301" s="1" t="s">
        <v>947</v>
      </c>
      <c r="E301" s="1">
        <v>13</v>
      </c>
      <c r="F301" s="3">
        <v>1000</v>
      </c>
      <c r="G301" s="1">
        <v>0</v>
      </c>
      <c r="H301" s="1" t="s">
        <v>948</v>
      </c>
      <c r="I301" s="1" t="s">
        <v>660</v>
      </c>
      <c r="J301" s="1" t="s">
        <v>16</v>
      </c>
      <c r="K301" s="1" t="s">
        <v>931</v>
      </c>
      <c r="L301" s="1" t="s">
        <v>638</v>
      </c>
      <c r="M301">
        <f t="shared" si="28"/>
        <v>250</v>
      </c>
      <c r="N301" t="str">
        <f t="shared" si="29"/>
        <v>1936-07-16</v>
      </c>
      <c r="O301">
        <f t="shared" si="30"/>
        <v>75</v>
      </c>
      <c r="P301" t="str">
        <f t="shared" si="31"/>
        <v>kobieta</v>
      </c>
      <c r="Q301">
        <f t="shared" si="32"/>
        <v>212</v>
      </c>
      <c r="R301">
        <f t="shared" si="33"/>
        <v>48</v>
      </c>
      <c r="S301">
        <f t="shared" ca="1" si="34"/>
        <v>0</v>
      </c>
    </row>
    <row r="302" spans="1:19">
      <c r="A302" s="1" t="s">
        <v>19</v>
      </c>
      <c r="B302" s="2">
        <v>460</v>
      </c>
      <c r="C302" s="1">
        <v>460</v>
      </c>
      <c r="D302" s="1" t="s">
        <v>949</v>
      </c>
      <c r="E302" s="1">
        <v>13</v>
      </c>
      <c r="F302" s="3">
        <v>1013.74</v>
      </c>
      <c r="G302" s="1">
        <v>5</v>
      </c>
      <c r="H302" s="1" t="s">
        <v>950</v>
      </c>
      <c r="I302" s="1" t="s">
        <v>951</v>
      </c>
      <c r="J302" s="1" t="s">
        <v>16</v>
      </c>
      <c r="K302" s="1" t="s">
        <v>931</v>
      </c>
      <c r="L302" s="1" t="s">
        <v>313</v>
      </c>
      <c r="M302">
        <f t="shared" si="28"/>
        <v>460</v>
      </c>
      <c r="N302" t="str">
        <f t="shared" si="29"/>
        <v>1946-09-02</v>
      </c>
      <c r="O302">
        <f t="shared" si="30"/>
        <v>65</v>
      </c>
      <c r="P302" t="str">
        <f t="shared" si="31"/>
        <v>kobieta</v>
      </c>
      <c r="Q302">
        <f t="shared" si="32"/>
        <v>114</v>
      </c>
      <c r="R302">
        <f t="shared" si="33"/>
        <v>48</v>
      </c>
      <c r="S302">
        <f t="shared" ca="1" si="34"/>
        <v>1</v>
      </c>
    </row>
    <row r="303" spans="1:19">
      <c r="A303" s="1" t="s">
        <v>19</v>
      </c>
      <c r="B303" s="2">
        <v>400</v>
      </c>
      <c r="C303" s="1">
        <v>400</v>
      </c>
      <c r="D303" s="1" t="s">
        <v>952</v>
      </c>
      <c r="E303" s="1">
        <v>13</v>
      </c>
      <c r="F303" s="3">
        <v>840</v>
      </c>
      <c r="G303" s="1">
        <v>3</v>
      </c>
      <c r="H303" s="1" t="s">
        <v>953</v>
      </c>
      <c r="I303" s="1" t="s">
        <v>951</v>
      </c>
      <c r="J303" s="1" t="s">
        <v>16</v>
      </c>
      <c r="K303" s="1" t="s">
        <v>931</v>
      </c>
      <c r="L303" s="1" t="s">
        <v>585</v>
      </c>
      <c r="M303">
        <f t="shared" si="28"/>
        <v>400</v>
      </c>
      <c r="N303" t="str">
        <f t="shared" si="29"/>
        <v>1947-03-19</v>
      </c>
      <c r="O303">
        <f t="shared" si="30"/>
        <v>64</v>
      </c>
      <c r="P303" t="str">
        <f t="shared" si="31"/>
        <v>kobieta</v>
      </c>
      <c r="Q303">
        <f t="shared" si="32"/>
        <v>114</v>
      </c>
      <c r="R303">
        <f t="shared" si="33"/>
        <v>48</v>
      </c>
      <c r="S303">
        <f t="shared" ca="1" si="34"/>
        <v>2</v>
      </c>
    </row>
    <row r="304" spans="1:19">
      <c r="A304" s="1" t="s">
        <v>12</v>
      </c>
      <c r="B304" s="2">
        <v>1000</v>
      </c>
      <c r="C304" s="1">
        <v>800</v>
      </c>
      <c r="D304" s="1" t="s">
        <v>97</v>
      </c>
      <c r="E304" s="1">
        <v>13</v>
      </c>
      <c r="F304" s="3">
        <v>1530</v>
      </c>
      <c r="G304" s="1">
        <v>0</v>
      </c>
      <c r="H304" s="1" t="s">
        <v>954</v>
      </c>
      <c r="I304" s="1" t="s">
        <v>99</v>
      </c>
      <c r="J304" s="1" t="s">
        <v>16</v>
      </c>
      <c r="K304" s="1" t="s">
        <v>931</v>
      </c>
      <c r="L304" s="1" t="s">
        <v>638</v>
      </c>
      <c r="M304">
        <f t="shared" si="28"/>
        <v>800</v>
      </c>
      <c r="N304" t="str">
        <f t="shared" si="29"/>
        <v>1954-01-12</v>
      </c>
      <c r="O304">
        <f t="shared" si="30"/>
        <v>57</v>
      </c>
      <c r="P304" t="str">
        <f t="shared" si="31"/>
        <v>kobieta</v>
      </c>
      <c r="Q304">
        <f t="shared" si="32"/>
        <v>26</v>
      </c>
      <c r="R304">
        <f t="shared" si="33"/>
        <v>48</v>
      </c>
      <c r="S304">
        <f t="shared" ca="1" si="34"/>
        <v>0</v>
      </c>
    </row>
    <row r="305" spans="1:19">
      <c r="A305" s="1" t="s">
        <v>19</v>
      </c>
      <c r="B305" s="2">
        <v>495.15</v>
      </c>
      <c r="C305" s="1">
        <v>495.15</v>
      </c>
      <c r="D305" s="1" t="s">
        <v>955</v>
      </c>
      <c r="E305" s="1">
        <v>11</v>
      </c>
      <c r="F305" s="3">
        <v>2470</v>
      </c>
      <c r="G305" s="1">
        <v>2</v>
      </c>
      <c r="H305" s="1" t="s">
        <v>956</v>
      </c>
      <c r="I305" s="1" t="s">
        <v>957</v>
      </c>
      <c r="J305" s="1" t="s">
        <v>16</v>
      </c>
      <c r="K305" s="1" t="s">
        <v>931</v>
      </c>
      <c r="L305" s="1" t="s">
        <v>657</v>
      </c>
      <c r="M305">
        <f t="shared" si="28"/>
        <v>495.15</v>
      </c>
      <c r="N305" t="str">
        <f t="shared" si="29"/>
        <v>1973-03-26</v>
      </c>
      <c r="O305">
        <f t="shared" si="30"/>
        <v>38</v>
      </c>
      <c r="P305" t="str">
        <f t="shared" si="31"/>
        <v>mężczyzna</v>
      </c>
      <c r="Q305">
        <f t="shared" si="32"/>
        <v>67</v>
      </c>
      <c r="R305">
        <f t="shared" si="33"/>
        <v>48</v>
      </c>
      <c r="S305">
        <f t="shared" ca="1" si="34"/>
        <v>5</v>
      </c>
    </row>
    <row r="306" spans="1:19">
      <c r="A306" s="1" t="s">
        <v>19</v>
      </c>
      <c r="B306" s="2">
        <v>500</v>
      </c>
      <c r="C306" s="1">
        <v>500</v>
      </c>
      <c r="D306" s="1" t="s">
        <v>958</v>
      </c>
      <c r="E306" s="1">
        <v>11</v>
      </c>
      <c r="F306" s="3">
        <v>2500</v>
      </c>
      <c r="G306" s="1">
        <v>1</v>
      </c>
      <c r="H306" s="1" t="s">
        <v>959</v>
      </c>
      <c r="I306" s="1" t="s">
        <v>960</v>
      </c>
      <c r="J306" s="1" t="s">
        <v>16</v>
      </c>
      <c r="K306" s="1" t="s">
        <v>931</v>
      </c>
      <c r="L306" s="1" t="s">
        <v>638</v>
      </c>
      <c r="M306">
        <f t="shared" si="28"/>
        <v>500</v>
      </c>
      <c r="N306" t="str">
        <f t="shared" si="29"/>
        <v>1962-02-23</v>
      </c>
      <c r="O306">
        <f t="shared" si="30"/>
        <v>49</v>
      </c>
      <c r="P306" t="str">
        <f t="shared" si="31"/>
        <v>kobieta</v>
      </c>
      <c r="Q306">
        <f t="shared" si="32"/>
        <v>234</v>
      </c>
      <c r="R306">
        <f t="shared" si="33"/>
        <v>48</v>
      </c>
      <c r="S306">
        <f t="shared" ca="1" si="34"/>
        <v>0</v>
      </c>
    </row>
    <row r="307" spans="1:19">
      <c r="A307" s="1" t="s">
        <v>12</v>
      </c>
      <c r="B307" s="2">
        <v>200</v>
      </c>
      <c r="C307" s="1">
        <v>200</v>
      </c>
      <c r="D307" s="1" t="s">
        <v>961</v>
      </c>
      <c r="E307" s="1">
        <v>12</v>
      </c>
      <c r="F307" s="3">
        <v>1048.27</v>
      </c>
      <c r="G307" s="1">
        <v>0</v>
      </c>
      <c r="H307" s="1" t="s">
        <v>962</v>
      </c>
      <c r="I307" s="1" t="s">
        <v>27</v>
      </c>
      <c r="J307" s="1" t="s">
        <v>963</v>
      </c>
      <c r="K307" s="1" t="s">
        <v>964</v>
      </c>
      <c r="L307" s="1" t="s">
        <v>657</v>
      </c>
      <c r="M307">
        <f t="shared" si="28"/>
        <v>200</v>
      </c>
      <c r="N307" t="str">
        <f t="shared" si="29"/>
        <v>1972-04-01</v>
      </c>
      <c r="O307">
        <f t="shared" si="30"/>
        <v>39</v>
      </c>
      <c r="P307" t="str">
        <f t="shared" si="31"/>
        <v>kobieta</v>
      </c>
      <c r="Q307">
        <f t="shared" si="32"/>
        <v>4</v>
      </c>
      <c r="R307">
        <f t="shared" si="33"/>
        <v>15</v>
      </c>
      <c r="S307">
        <f t="shared" ca="1" si="34"/>
        <v>4</v>
      </c>
    </row>
    <row r="308" spans="1:19">
      <c r="A308" s="1" t="s">
        <v>12</v>
      </c>
      <c r="B308" s="2">
        <v>200</v>
      </c>
      <c r="C308" s="1">
        <v>200</v>
      </c>
      <c r="D308" s="1" t="s">
        <v>965</v>
      </c>
      <c r="E308" s="1">
        <v>16</v>
      </c>
      <c r="F308" s="3">
        <v>1313.41</v>
      </c>
      <c r="G308" s="1">
        <v>5</v>
      </c>
      <c r="H308" s="1" t="s">
        <v>966</v>
      </c>
      <c r="I308" s="1" t="s">
        <v>967</v>
      </c>
      <c r="J308" s="1" t="s">
        <v>16</v>
      </c>
      <c r="K308" s="1" t="s">
        <v>964</v>
      </c>
      <c r="L308" s="1" t="s">
        <v>968</v>
      </c>
      <c r="M308">
        <f t="shared" si="28"/>
        <v>200</v>
      </c>
      <c r="N308" t="str">
        <f t="shared" si="29"/>
        <v>1949-06-19</v>
      </c>
      <c r="O308">
        <f t="shared" si="30"/>
        <v>62</v>
      </c>
      <c r="P308" t="str">
        <f t="shared" si="31"/>
        <v>mężczyzna</v>
      </c>
      <c r="Q308">
        <f t="shared" si="32"/>
        <v>29</v>
      </c>
      <c r="R308">
        <f t="shared" si="33"/>
        <v>48</v>
      </c>
      <c r="S308">
        <f t="shared" ca="1" si="34"/>
        <v>229</v>
      </c>
    </row>
    <row r="309" spans="1:19">
      <c r="A309" s="1" t="s">
        <v>19</v>
      </c>
      <c r="B309" s="2">
        <v>350</v>
      </c>
      <c r="C309" s="1">
        <v>350</v>
      </c>
      <c r="D309" s="1" t="s">
        <v>969</v>
      </c>
      <c r="E309" s="1">
        <v>16</v>
      </c>
      <c r="F309" s="3">
        <v>837</v>
      </c>
      <c r="G309" s="1">
        <v>4</v>
      </c>
      <c r="H309" s="1" t="s">
        <v>970</v>
      </c>
      <c r="I309" s="1" t="s">
        <v>971</v>
      </c>
      <c r="J309" s="1" t="s">
        <v>16</v>
      </c>
      <c r="K309" s="1" t="s">
        <v>964</v>
      </c>
      <c r="L309" s="1" t="s">
        <v>313</v>
      </c>
      <c r="M309">
        <f t="shared" si="28"/>
        <v>350</v>
      </c>
      <c r="N309" t="str">
        <f t="shared" si="29"/>
        <v>1950-11-07</v>
      </c>
      <c r="O309">
        <f t="shared" si="30"/>
        <v>61</v>
      </c>
      <c r="P309" t="str">
        <f t="shared" si="31"/>
        <v>mężczyzna</v>
      </c>
      <c r="Q309">
        <f t="shared" si="32"/>
        <v>232</v>
      </c>
      <c r="R309">
        <f t="shared" si="33"/>
        <v>48</v>
      </c>
      <c r="S309">
        <f t="shared" ca="1" si="34"/>
        <v>0</v>
      </c>
    </row>
    <row r="310" spans="1:19">
      <c r="A310" s="1" t="s">
        <v>19</v>
      </c>
      <c r="B310" s="2">
        <v>400</v>
      </c>
      <c r="C310" s="1">
        <v>400</v>
      </c>
      <c r="D310" s="1" t="s">
        <v>972</v>
      </c>
      <c r="E310" s="1">
        <v>11</v>
      </c>
      <c r="F310" s="3">
        <v>1500</v>
      </c>
      <c r="G310" s="1">
        <v>4</v>
      </c>
      <c r="H310" s="1" t="s">
        <v>973</v>
      </c>
      <c r="I310" s="1" t="s">
        <v>333</v>
      </c>
      <c r="J310" s="1" t="s">
        <v>16</v>
      </c>
      <c r="K310" s="1" t="s">
        <v>964</v>
      </c>
      <c r="L310" s="1" t="s">
        <v>638</v>
      </c>
      <c r="M310">
        <f t="shared" si="28"/>
        <v>400</v>
      </c>
      <c r="N310" t="str">
        <f t="shared" si="29"/>
        <v>1953-04-19</v>
      </c>
      <c r="O310">
        <f t="shared" si="30"/>
        <v>58</v>
      </c>
      <c r="P310" t="str">
        <f t="shared" si="31"/>
        <v>kobieta</v>
      </c>
      <c r="Q310">
        <f t="shared" si="32"/>
        <v>86</v>
      </c>
      <c r="R310">
        <f t="shared" si="33"/>
        <v>48</v>
      </c>
      <c r="S310">
        <f t="shared" ca="1" si="34"/>
        <v>0</v>
      </c>
    </row>
    <row r="311" spans="1:19">
      <c r="A311" s="1" t="s">
        <v>19</v>
      </c>
      <c r="B311" s="2">
        <v>1000</v>
      </c>
      <c r="C311" s="1">
        <v>1000</v>
      </c>
      <c r="D311" s="1" t="s">
        <v>566</v>
      </c>
      <c r="E311" s="1">
        <v>11</v>
      </c>
      <c r="F311" s="3">
        <v>2200</v>
      </c>
      <c r="G311" s="1">
        <v>1</v>
      </c>
      <c r="H311" s="1" t="s">
        <v>974</v>
      </c>
      <c r="I311" s="1" t="s">
        <v>34</v>
      </c>
      <c r="J311" s="1" t="s">
        <v>16</v>
      </c>
      <c r="K311" s="1" t="s">
        <v>964</v>
      </c>
      <c r="L311" s="1" t="s">
        <v>677</v>
      </c>
      <c r="M311">
        <f t="shared" si="28"/>
        <v>1000</v>
      </c>
      <c r="N311" t="str">
        <f t="shared" si="29"/>
        <v>1978-01-28</v>
      </c>
      <c r="O311">
        <f t="shared" si="30"/>
        <v>33</v>
      </c>
      <c r="P311" t="str">
        <f t="shared" si="31"/>
        <v>kobieta</v>
      </c>
      <c r="Q311">
        <f t="shared" si="32"/>
        <v>38</v>
      </c>
      <c r="R311">
        <f t="shared" si="33"/>
        <v>48</v>
      </c>
      <c r="S311">
        <f t="shared" ca="1" si="34"/>
        <v>0</v>
      </c>
    </row>
    <row r="312" spans="1:19">
      <c r="A312" s="1" t="s">
        <v>24</v>
      </c>
      <c r="B312" s="2">
        <v>800</v>
      </c>
      <c r="C312" s="1">
        <v>0</v>
      </c>
      <c r="D312" s="1" t="s">
        <v>975</v>
      </c>
      <c r="E312" s="1">
        <v>12</v>
      </c>
      <c r="F312" s="3">
        <v>1900</v>
      </c>
      <c r="G312" s="1">
        <v>0</v>
      </c>
      <c r="H312" s="1" t="s">
        <v>976</v>
      </c>
      <c r="I312" s="1" t="s">
        <v>583</v>
      </c>
      <c r="J312" s="1" t="s">
        <v>977</v>
      </c>
      <c r="K312" s="1" t="s">
        <v>16</v>
      </c>
      <c r="L312" s="1" t="s">
        <v>28</v>
      </c>
      <c r="M312">
        <f t="shared" si="28"/>
        <v>800</v>
      </c>
      <c r="N312" t="str">
        <f t="shared" si="29"/>
        <v>1979-01-03</v>
      </c>
      <c r="O312">
        <f t="shared" si="30"/>
        <v>32</v>
      </c>
      <c r="P312" t="str">
        <f t="shared" si="31"/>
        <v>mężczyzna</v>
      </c>
      <c r="Q312">
        <f t="shared" si="32"/>
        <v>8</v>
      </c>
      <c r="R312">
        <f t="shared" si="33"/>
        <v>3</v>
      </c>
      <c r="S312">
        <f t="shared" ca="1" si="34"/>
        <v>0</v>
      </c>
    </row>
    <row r="313" spans="1:19">
      <c r="A313" s="1" t="s">
        <v>24</v>
      </c>
      <c r="B313" s="2">
        <v>400</v>
      </c>
      <c r="C313" s="1">
        <v>0</v>
      </c>
      <c r="D313" s="1" t="s">
        <v>978</v>
      </c>
      <c r="E313" s="1">
        <v>12</v>
      </c>
      <c r="F313" s="3">
        <v>1250</v>
      </c>
      <c r="G313" s="1">
        <v>0</v>
      </c>
      <c r="H313" s="1" t="s">
        <v>979</v>
      </c>
      <c r="I313" s="1" t="s">
        <v>980</v>
      </c>
      <c r="J313" s="1" t="s">
        <v>981</v>
      </c>
      <c r="K313" s="1" t="s">
        <v>16</v>
      </c>
      <c r="L313" s="1" t="s">
        <v>28</v>
      </c>
      <c r="M313">
        <f t="shared" si="28"/>
        <v>400</v>
      </c>
      <c r="N313" t="str">
        <f t="shared" si="29"/>
        <v>1965-04-29</v>
      </c>
      <c r="O313">
        <f t="shared" si="30"/>
        <v>46</v>
      </c>
      <c r="P313" t="str">
        <f t="shared" si="31"/>
        <v>kobieta</v>
      </c>
      <c r="Q313">
        <f t="shared" si="32"/>
        <v>49</v>
      </c>
      <c r="R313">
        <f t="shared" si="33"/>
        <v>0</v>
      </c>
      <c r="S313">
        <f t="shared" ca="1" si="34"/>
        <v>0</v>
      </c>
    </row>
    <row r="314" spans="1:19">
      <c r="A314" s="1" t="s">
        <v>12</v>
      </c>
      <c r="B314" s="2">
        <v>300</v>
      </c>
      <c r="C314" s="1">
        <v>300</v>
      </c>
      <c r="D314" s="1" t="s">
        <v>982</v>
      </c>
      <c r="E314" s="1">
        <v>11</v>
      </c>
      <c r="F314" s="3">
        <v>3300</v>
      </c>
      <c r="G314" s="1">
        <v>2</v>
      </c>
      <c r="H314" s="1" t="s">
        <v>983</v>
      </c>
      <c r="I314" s="1" t="s">
        <v>984</v>
      </c>
      <c r="J314" s="1" t="s">
        <v>16</v>
      </c>
      <c r="K314" s="1" t="s">
        <v>985</v>
      </c>
      <c r="L314" s="1" t="s">
        <v>638</v>
      </c>
      <c r="M314">
        <f t="shared" si="28"/>
        <v>300</v>
      </c>
      <c r="N314" t="str">
        <f t="shared" si="29"/>
        <v>1967-01-04</v>
      </c>
      <c r="O314">
        <f t="shared" si="30"/>
        <v>44</v>
      </c>
      <c r="P314" t="str">
        <f t="shared" si="31"/>
        <v>mężczyzna</v>
      </c>
      <c r="Q314">
        <f t="shared" si="32"/>
        <v>238</v>
      </c>
      <c r="R314">
        <f t="shared" si="33"/>
        <v>48</v>
      </c>
      <c r="S314">
        <f t="shared" ca="1" si="34"/>
        <v>0</v>
      </c>
    </row>
    <row r="315" spans="1:19">
      <c r="A315" s="1" t="s">
        <v>24</v>
      </c>
      <c r="B315" s="2">
        <v>300</v>
      </c>
      <c r="C315" s="1">
        <v>0</v>
      </c>
      <c r="D315" s="1" t="s">
        <v>986</v>
      </c>
      <c r="E315" s="1">
        <v>13</v>
      </c>
      <c r="F315" s="3">
        <v>1129.46</v>
      </c>
      <c r="G315" s="1">
        <v>0</v>
      </c>
      <c r="H315" s="1" t="s">
        <v>987</v>
      </c>
      <c r="I315" s="1" t="s">
        <v>988</v>
      </c>
      <c r="J315" s="1" t="s">
        <v>16</v>
      </c>
      <c r="K315" s="1" t="s">
        <v>16</v>
      </c>
      <c r="L315" s="1" t="s">
        <v>28</v>
      </c>
      <c r="M315">
        <f t="shared" si="28"/>
        <v>300</v>
      </c>
      <c r="N315" t="str">
        <f t="shared" si="29"/>
        <v>1936-04-11</v>
      </c>
      <c r="O315">
        <f t="shared" si="30"/>
        <v>75</v>
      </c>
      <c r="P315" t="str">
        <f t="shared" si="31"/>
        <v>mężczyzna</v>
      </c>
      <c r="Q315">
        <f t="shared" si="32"/>
        <v>187</v>
      </c>
      <c r="R315">
        <f t="shared" si="33"/>
        <v>48</v>
      </c>
      <c r="S315">
        <f t="shared" ca="1" si="34"/>
        <v>0</v>
      </c>
    </row>
    <row r="316" spans="1:19">
      <c r="A316" s="1" t="s">
        <v>19</v>
      </c>
      <c r="B316" s="2">
        <v>315.49</v>
      </c>
      <c r="C316" s="1">
        <v>315.49</v>
      </c>
      <c r="D316" s="1" t="s">
        <v>989</v>
      </c>
      <c r="E316" s="1">
        <v>13</v>
      </c>
      <c r="F316" s="3">
        <v>960</v>
      </c>
      <c r="G316" s="1">
        <v>5</v>
      </c>
      <c r="H316" s="1" t="s">
        <v>990</v>
      </c>
      <c r="I316" s="1" t="s">
        <v>991</v>
      </c>
      <c r="J316" s="1" t="s">
        <v>16</v>
      </c>
      <c r="K316" s="1" t="s">
        <v>985</v>
      </c>
      <c r="L316" s="1" t="s">
        <v>585</v>
      </c>
      <c r="M316">
        <f t="shared" si="28"/>
        <v>315.49</v>
      </c>
      <c r="N316" t="str">
        <f t="shared" si="29"/>
        <v>1938-08-21</v>
      </c>
      <c r="O316">
        <f t="shared" si="30"/>
        <v>73</v>
      </c>
      <c r="P316" t="str">
        <f t="shared" si="31"/>
        <v>mężczyzna</v>
      </c>
      <c r="Q316">
        <f t="shared" si="32"/>
        <v>141</v>
      </c>
      <c r="R316">
        <f t="shared" si="33"/>
        <v>48</v>
      </c>
      <c r="S316">
        <f t="shared" ca="1" si="34"/>
        <v>0</v>
      </c>
    </row>
    <row r="317" spans="1:19">
      <c r="A317" s="1" t="s">
        <v>19</v>
      </c>
      <c r="B317" s="2">
        <v>423.23</v>
      </c>
      <c r="C317" s="1">
        <v>423.23</v>
      </c>
      <c r="D317" s="1" t="s">
        <v>992</v>
      </c>
      <c r="E317" s="1">
        <v>11</v>
      </c>
      <c r="F317" s="3">
        <v>2700</v>
      </c>
      <c r="G317" s="1">
        <v>5</v>
      </c>
      <c r="H317" s="1" t="s">
        <v>993</v>
      </c>
      <c r="I317" s="1" t="s">
        <v>994</v>
      </c>
      <c r="J317" s="1" t="s">
        <v>16</v>
      </c>
      <c r="K317" s="1" t="s">
        <v>985</v>
      </c>
      <c r="L317" s="1" t="s">
        <v>995</v>
      </c>
      <c r="M317">
        <f t="shared" si="28"/>
        <v>423.23</v>
      </c>
      <c r="N317" t="str">
        <f t="shared" si="29"/>
        <v>1980-02-22</v>
      </c>
      <c r="O317">
        <f t="shared" si="30"/>
        <v>31</v>
      </c>
      <c r="P317" t="str">
        <f t="shared" si="31"/>
        <v>mężczyzna</v>
      </c>
      <c r="Q317">
        <f t="shared" si="32"/>
        <v>16</v>
      </c>
      <c r="R317">
        <f t="shared" si="33"/>
        <v>48</v>
      </c>
      <c r="S317">
        <f t="shared" ca="1" si="34"/>
        <v>7</v>
      </c>
    </row>
    <row r="318" spans="1:19">
      <c r="A318" s="1" t="s">
        <v>12</v>
      </c>
      <c r="B318" s="2">
        <v>365.96</v>
      </c>
      <c r="C318" s="1">
        <v>365.96</v>
      </c>
      <c r="D318" s="1" t="s">
        <v>996</v>
      </c>
      <c r="E318" s="1">
        <v>12</v>
      </c>
      <c r="F318" s="3">
        <v>1574.45</v>
      </c>
      <c r="G318" s="1">
        <v>4</v>
      </c>
      <c r="H318" s="1" t="s">
        <v>997</v>
      </c>
      <c r="I318" s="1" t="s">
        <v>154</v>
      </c>
      <c r="J318" s="1" t="s">
        <v>977</v>
      </c>
      <c r="K318" s="1" t="s">
        <v>985</v>
      </c>
      <c r="L318" s="1" t="s">
        <v>842</v>
      </c>
      <c r="M318">
        <f t="shared" si="28"/>
        <v>365.96</v>
      </c>
      <c r="N318" t="str">
        <f t="shared" si="29"/>
        <v>1964-07-11</v>
      </c>
      <c r="O318">
        <f t="shared" si="30"/>
        <v>47</v>
      </c>
      <c r="P318" t="str">
        <f t="shared" si="31"/>
        <v>mężczyzna</v>
      </c>
      <c r="Q318">
        <f t="shared" si="32"/>
        <v>32</v>
      </c>
      <c r="R318">
        <f t="shared" si="33"/>
        <v>3</v>
      </c>
      <c r="S318">
        <f t="shared" ca="1" si="34"/>
        <v>6</v>
      </c>
    </row>
    <row r="319" spans="1:19">
      <c r="A319" s="1" t="s">
        <v>56</v>
      </c>
      <c r="B319" s="2">
        <v>350</v>
      </c>
      <c r="C319" s="1">
        <v>350</v>
      </c>
      <c r="D319" s="1" t="s">
        <v>998</v>
      </c>
      <c r="E319" s="1">
        <v>17</v>
      </c>
      <c r="F319" s="3">
        <v>547.89</v>
      </c>
      <c r="G319" s="1">
        <v>2</v>
      </c>
      <c r="H319" s="1" t="s">
        <v>999</v>
      </c>
      <c r="I319" s="1" t="s">
        <v>1000</v>
      </c>
      <c r="J319" s="1" t="s">
        <v>63</v>
      </c>
      <c r="K319" s="1" t="s">
        <v>985</v>
      </c>
      <c r="L319" s="1" t="s">
        <v>28</v>
      </c>
      <c r="M319">
        <f t="shared" si="28"/>
        <v>350</v>
      </c>
      <c r="N319" t="str">
        <f t="shared" si="29"/>
        <v>1955-09-22</v>
      </c>
      <c r="O319">
        <f t="shared" si="30"/>
        <v>56</v>
      </c>
      <c r="P319" t="str">
        <f t="shared" si="31"/>
        <v>kobieta</v>
      </c>
      <c r="Q319">
        <f t="shared" si="32"/>
        <v>57</v>
      </c>
      <c r="R319">
        <f t="shared" si="33"/>
        <v>1</v>
      </c>
      <c r="S319">
        <f t="shared" ca="1" si="34"/>
        <v>5247</v>
      </c>
    </row>
    <row r="320" spans="1:19">
      <c r="A320" s="1" t="s">
        <v>19</v>
      </c>
      <c r="B320" s="2">
        <v>300</v>
      </c>
      <c r="C320" s="1">
        <v>300</v>
      </c>
      <c r="D320" s="1" t="s">
        <v>1001</v>
      </c>
      <c r="E320" s="1">
        <v>13</v>
      </c>
      <c r="F320" s="3">
        <v>1027</v>
      </c>
      <c r="G320" s="1">
        <v>1</v>
      </c>
      <c r="H320" s="1" t="s">
        <v>1002</v>
      </c>
      <c r="I320" s="1" t="s">
        <v>1003</v>
      </c>
      <c r="J320" s="1" t="s">
        <v>16</v>
      </c>
      <c r="K320" s="1" t="s">
        <v>985</v>
      </c>
      <c r="L320" s="1" t="s">
        <v>585</v>
      </c>
      <c r="M320">
        <f t="shared" si="28"/>
        <v>300</v>
      </c>
      <c r="N320" t="str">
        <f t="shared" si="29"/>
        <v>1943-04-08</v>
      </c>
      <c r="O320">
        <f t="shared" si="30"/>
        <v>68</v>
      </c>
      <c r="P320" t="str">
        <f t="shared" si="31"/>
        <v>kobieta</v>
      </c>
      <c r="Q320">
        <f t="shared" si="32"/>
        <v>193</v>
      </c>
      <c r="R320">
        <f t="shared" si="33"/>
        <v>48</v>
      </c>
      <c r="S320">
        <f t="shared" ca="1" si="34"/>
        <v>0</v>
      </c>
    </row>
    <row r="321" spans="1:19">
      <c r="A321" s="1" t="s">
        <v>56</v>
      </c>
      <c r="B321" s="2">
        <v>799.85</v>
      </c>
      <c r="C321" s="1">
        <v>799.85</v>
      </c>
      <c r="D321" s="1" t="s">
        <v>1004</v>
      </c>
      <c r="E321" s="1">
        <v>11</v>
      </c>
      <c r="F321" s="3">
        <v>2050</v>
      </c>
      <c r="G321" s="1">
        <v>1</v>
      </c>
      <c r="H321" s="1" t="s">
        <v>1005</v>
      </c>
      <c r="I321" s="1" t="s">
        <v>1006</v>
      </c>
      <c r="J321" s="1" t="s">
        <v>16</v>
      </c>
      <c r="K321" s="1" t="s">
        <v>985</v>
      </c>
      <c r="L321" s="1" t="s">
        <v>28</v>
      </c>
      <c r="M321">
        <f t="shared" si="28"/>
        <v>799.85</v>
      </c>
      <c r="N321" t="str">
        <f t="shared" si="29"/>
        <v>1978-11-02</v>
      </c>
      <c r="O321">
        <f t="shared" si="30"/>
        <v>33</v>
      </c>
      <c r="P321" t="str">
        <f t="shared" si="31"/>
        <v>kobieta</v>
      </c>
      <c r="Q321">
        <f t="shared" si="32"/>
        <v>30</v>
      </c>
      <c r="R321">
        <f t="shared" si="33"/>
        <v>48</v>
      </c>
      <c r="S321">
        <f t="shared" ca="1" si="34"/>
        <v>5247</v>
      </c>
    </row>
    <row r="322" spans="1:19">
      <c r="A322" s="1" t="s">
        <v>12</v>
      </c>
      <c r="B322" s="2">
        <v>400</v>
      </c>
      <c r="C322" s="1">
        <v>400</v>
      </c>
      <c r="D322" s="1" t="s">
        <v>1007</v>
      </c>
      <c r="E322" s="1">
        <v>13</v>
      </c>
      <c r="F322" s="3">
        <v>1817.24</v>
      </c>
      <c r="G322" s="1">
        <v>4</v>
      </c>
      <c r="H322" s="1" t="s">
        <v>1008</v>
      </c>
      <c r="I322" s="1" t="s">
        <v>535</v>
      </c>
      <c r="J322" s="1" t="s">
        <v>16</v>
      </c>
      <c r="K322" s="1" t="s">
        <v>985</v>
      </c>
      <c r="L322" s="1" t="s">
        <v>657</v>
      </c>
      <c r="M322">
        <f t="shared" si="28"/>
        <v>400</v>
      </c>
      <c r="N322" t="str">
        <f t="shared" si="29"/>
        <v>1954-09-13</v>
      </c>
      <c r="O322">
        <f t="shared" si="30"/>
        <v>57</v>
      </c>
      <c r="P322" t="str">
        <f t="shared" si="31"/>
        <v>kobieta</v>
      </c>
      <c r="Q322">
        <f t="shared" si="32"/>
        <v>19</v>
      </c>
      <c r="R322">
        <f t="shared" si="33"/>
        <v>48</v>
      </c>
      <c r="S322">
        <f t="shared" ca="1" si="34"/>
        <v>3</v>
      </c>
    </row>
    <row r="323" spans="1:19">
      <c r="A323" s="1" t="s">
        <v>12</v>
      </c>
      <c r="B323" s="2">
        <v>407.31</v>
      </c>
      <c r="C323" s="1">
        <v>407.31</v>
      </c>
      <c r="D323" s="1" t="s">
        <v>1009</v>
      </c>
      <c r="E323" s="1">
        <v>16</v>
      </c>
      <c r="F323" s="3">
        <v>980</v>
      </c>
      <c r="G323" s="1">
        <v>5</v>
      </c>
      <c r="H323" s="1" t="s">
        <v>1010</v>
      </c>
      <c r="I323" s="1" t="s">
        <v>1011</v>
      </c>
      <c r="J323" s="1" t="s">
        <v>16</v>
      </c>
      <c r="K323" s="1" t="s">
        <v>985</v>
      </c>
      <c r="L323" s="1" t="s">
        <v>585</v>
      </c>
      <c r="M323">
        <f t="shared" ref="M323:M386" si="35">IF(A323="odmowa", B323,C323)</f>
        <v>407.31</v>
      </c>
      <c r="N323" t="str">
        <f t="shared" ref="N323:N386" si="36">CONCATENATE("19", MID(D323, 1, 2), "-", MID(D323, 3, 2), "-", MID(D323, 5, 2))</f>
        <v>1943-05-11</v>
      </c>
      <c r="O323">
        <f t="shared" ref="O323:O386" si="37">YEAR(H323) - YEAR(N323)</f>
        <v>68</v>
      </c>
      <c r="P323" t="str">
        <f t="shared" ref="P323:P386" si="38">IF(MOD(MID(D323, 10, 1), 2)=0, "kobieta", "mężczyzna")</f>
        <v>kobieta</v>
      </c>
      <c r="Q323">
        <f t="shared" ref="Q323:Q386" si="39">(YEAR(H323) - YEAR(I323)) * 12 + MONTH(H323) - MONTH(I323)</f>
        <v>132</v>
      </c>
      <c r="R323">
        <f t="shared" ref="R323:R386" si="40">IF(LEFT(J323, 4)="0000", 48, MIN(48, (YEAR(J323) - YEAR(H323)) * 12 + MONTH(J323) - MONTH(H323)))</f>
        <v>48</v>
      </c>
      <c r="S323">
        <f t="shared" ref="S323:S386" ca="1" si="41">IF(LEFT(K323, 4)="0000", 0, IF(LEFT(L323, 4)="0000", MAX(0, TODAY() - K323), MAX(0, L323 - K323)))</f>
        <v>0</v>
      </c>
    </row>
    <row r="324" spans="1:19">
      <c r="A324" s="1" t="s">
        <v>19</v>
      </c>
      <c r="B324" s="2">
        <v>593.94000000000005</v>
      </c>
      <c r="C324" s="1">
        <v>593.94000000000005</v>
      </c>
      <c r="D324" s="1" t="s">
        <v>1012</v>
      </c>
      <c r="E324" s="1">
        <v>11</v>
      </c>
      <c r="F324" s="3">
        <v>3200</v>
      </c>
      <c r="G324" s="1">
        <v>5</v>
      </c>
      <c r="H324" s="1" t="s">
        <v>1013</v>
      </c>
      <c r="I324" s="1" t="s">
        <v>1014</v>
      </c>
      <c r="J324" s="1" t="s">
        <v>16</v>
      </c>
      <c r="K324" s="1" t="s">
        <v>985</v>
      </c>
      <c r="L324" s="1" t="s">
        <v>585</v>
      </c>
      <c r="M324">
        <f t="shared" si="35"/>
        <v>593.94000000000005</v>
      </c>
      <c r="N324" t="str">
        <f t="shared" si="36"/>
        <v>1959-04-23</v>
      </c>
      <c r="O324">
        <f t="shared" si="37"/>
        <v>52</v>
      </c>
      <c r="P324" t="str">
        <f t="shared" si="38"/>
        <v>mężczyzna</v>
      </c>
      <c r="Q324">
        <f t="shared" si="39"/>
        <v>190</v>
      </c>
      <c r="R324">
        <f t="shared" si="40"/>
        <v>48</v>
      </c>
      <c r="S324">
        <f t="shared" ca="1" si="41"/>
        <v>0</v>
      </c>
    </row>
    <row r="325" spans="1:19">
      <c r="A325" s="1" t="s">
        <v>12</v>
      </c>
      <c r="B325" s="2">
        <v>300</v>
      </c>
      <c r="C325" s="1">
        <v>300</v>
      </c>
      <c r="D325" s="1" t="s">
        <v>1015</v>
      </c>
      <c r="E325" s="1">
        <v>11</v>
      </c>
      <c r="F325" s="3">
        <v>2200</v>
      </c>
      <c r="G325" s="1">
        <v>0</v>
      </c>
      <c r="H325" s="1" t="s">
        <v>1016</v>
      </c>
      <c r="I325" s="1" t="s">
        <v>644</v>
      </c>
      <c r="J325" s="1" t="s">
        <v>16</v>
      </c>
      <c r="K325" s="1" t="s">
        <v>985</v>
      </c>
      <c r="L325" s="1" t="s">
        <v>670</v>
      </c>
      <c r="M325">
        <f t="shared" si="35"/>
        <v>300</v>
      </c>
      <c r="N325" t="str">
        <f t="shared" si="36"/>
        <v>1978-11-28</v>
      </c>
      <c r="O325">
        <f t="shared" si="37"/>
        <v>33</v>
      </c>
      <c r="P325" t="str">
        <f t="shared" si="38"/>
        <v>kobieta</v>
      </c>
      <c r="Q325">
        <f t="shared" si="39"/>
        <v>12</v>
      </c>
      <c r="R325">
        <f t="shared" si="40"/>
        <v>48</v>
      </c>
      <c r="S325">
        <f t="shared" ca="1" si="41"/>
        <v>0</v>
      </c>
    </row>
    <row r="326" spans="1:19">
      <c r="A326" s="1" t="s">
        <v>19</v>
      </c>
      <c r="B326" s="2">
        <v>550</v>
      </c>
      <c r="C326" s="1">
        <v>550</v>
      </c>
      <c r="D326" s="1" t="s">
        <v>1017</v>
      </c>
      <c r="E326" s="1">
        <v>12</v>
      </c>
      <c r="F326" s="3">
        <v>1675</v>
      </c>
      <c r="G326" s="1">
        <v>5</v>
      </c>
      <c r="H326" s="1" t="s">
        <v>1018</v>
      </c>
      <c r="I326" s="1" t="s">
        <v>717</v>
      </c>
      <c r="J326" s="1" t="s">
        <v>63</v>
      </c>
      <c r="K326" s="1" t="s">
        <v>985</v>
      </c>
      <c r="L326" s="1" t="s">
        <v>657</v>
      </c>
      <c r="M326">
        <f t="shared" si="35"/>
        <v>550</v>
      </c>
      <c r="N326" t="str">
        <f t="shared" si="36"/>
        <v>1957-09-29</v>
      </c>
      <c r="O326">
        <f t="shared" si="37"/>
        <v>54</v>
      </c>
      <c r="P326" t="str">
        <f t="shared" si="38"/>
        <v>kobieta</v>
      </c>
      <c r="Q326">
        <f t="shared" si="39"/>
        <v>10</v>
      </c>
      <c r="R326">
        <f t="shared" si="40"/>
        <v>1</v>
      </c>
      <c r="S326">
        <f t="shared" ca="1" si="41"/>
        <v>3</v>
      </c>
    </row>
    <row r="327" spans="1:19">
      <c r="A327" s="1" t="s">
        <v>19</v>
      </c>
      <c r="B327" s="2">
        <v>300</v>
      </c>
      <c r="C327" s="1">
        <v>300</v>
      </c>
      <c r="D327" s="1" t="s">
        <v>240</v>
      </c>
      <c r="E327" s="1">
        <v>16</v>
      </c>
      <c r="F327" s="3">
        <v>1389</v>
      </c>
      <c r="G327" s="1">
        <v>0</v>
      </c>
      <c r="H327" s="1" t="s">
        <v>1019</v>
      </c>
      <c r="I327" s="1" t="s">
        <v>242</v>
      </c>
      <c r="J327" s="1" t="s">
        <v>16</v>
      </c>
      <c r="K327" s="1" t="s">
        <v>985</v>
      </c>
      <c r="L327" s="1" t="s">
        <v>585</v>
      </c>
      <c r="M327">
        <f t="shared" si="35"/>
        <v>300</v>
      </c>
      <c r="N327" t="str">
        <f t="shared" si="36"/>
        <v>1948-07-16</v>
      </c>
      <c r="O327">
        <f t="shared" si="37"/>
        <v>63</v>
      </c>
      <c r="P327" t="str">
        <f t="shared" si="38"/>
        <v>kobieta</v>
      </c>
      <c r="Q327">
        <f t="shared" si="39"/>
        <v>92</v>
      </c>
      <c r="R327">
        <f t="shared" si="40"/>
        <v>48</v>
      </c>
      <c r="S327">
        <f t="shared" ca="1" si="41"/>
        <v>0</v>
      </c>
    </row>
    <row r="328" spans="1:19">
      <c r="A328" s="1" t="s">
        <v>19</v>
      </c>
      <c r="B328" s="2">
        <v>900</v>
      </c>
      <c r="C328" s="1">
        <v>900</v>
      </c>
      <c r="D328" s="1" t="s">
        <v>1020</v>
      </c>
      <c r="E328" s="1">
        <v>17</v>
      </c>
      <c r="F328" s="3">
        <v>684</v>
      </c>
      <c r="G328" s="1">
        <v>5</v>
      </c>
      <c r="H328" s="1" t="s">
        <v>1021</v>
      </c>
      <c r="I328" s="1" t="s">
        <v>1022</v>
      </c>
      <c r="J328" s="1" t="s">
        <v>1023</v>
      </c>
      <c r="K328" s="1" t="s">
        <v>985</v>
      </c>
      <c r="L328" s="1" t="s">
        <v>585</v>
      </c>
      <c r="M328">
        <f t="shared" si="35"/>
        <v>900</v>
      </c>
      <c r="N328" t="str">
        <f t="shared" si="36"/>
        <v>1953-05-21</v>
      </c>
      <c r="O328">
        <f t="shared" si="37"/>
        <v>58</v>
      </c>
      <c r="P328" t="str">
        <f t="shared" si="38"/>
        <v>kobieta</v>
      </c>
      <c r="Q328">
        <f t="shared" si="39"/>
        <v>191</v>
      </c>
      <c r="R328">
        <f t="shared" si="40"/>
        <v>18</v>
      </c>
      <c r="S328">
        <f t="shared" ca="1" si="41"/>
        <v>0</v>
      </c>
    </row>
    <row r="329" spans="1:19">
      <c r="A329" s="1" t="s">
        <v>19</v>
      </c>
      <c r="B329" s="2">
        <v>200</v>
      </c>
      <c r="C329" s="1">
        <v>200</v>
      </c>
      <c r="D329" s="1" t="s">
        <v>1024</v>
      </c>
      <c r="E329" s="1">
        <v>11</v>
      </c>
      <c r="F329" s="3">
        <v>1460.17</v>
      </c>
      <c r="G329" s="1">
        <v>2</v>
      </c>
      <c r="H329" s="1" t="s">
        <v>1025</v>
      </c>
      <c r="I329" s="1" t="s">
        <v>1026</v>
      </c>
      <c r="J329" s="1" t="s">
        <v>16</v>
      </c>
      <c r="K329" s="1" t="s">
        <v>985</v>
      </c>
      <c r="L329" s="1" t="s">
        <v>740</v>
      </c>
      <c r="M329">
        <f t="shared" si="35"/>
        <v>200</v>
      </c>
      <c r="N329" t="str">
        <f t="shared" si="36"/>
        <v>1956-12-09</v>
      </c>
      <c r="O329">
        <f t="shared" si="37"/>
        <v>55</v>
      </c>
      <c r="P329" t="str">
        <f t="shared" si="38"/>
        <v>mężczyzna</v>
      </c>
      <c r="Q329">
        <f t="shared" si="39"/>
        <v>62</v>
      </c>
      <c r="R329">
        <f t="shared" si="40"/>
        <v>48</v>
      </c>
      <c r="S329">
        <f t="shared" ca="1" si="41"/>
        <v>1</v>
      </c>
    </row>
    <row r="330" spans="1:19">
      <c r="A330" s="1" t="s">
        <v>19</v>
      </c>
      <c r="B330" s="2">
        <v>670</v>
      </c>
      <c r="C330" s="1">
        <v>670</v>
      </c>
      <c r="D330" s="1" t="s">
        <v>1027</v>
      </c>
      <c r="E330" s="1">
        <v>13</v>
      </c>
      <c r="F330" s="3">
        <v>930</v>
      </c>
      <c r="G330" s="1">
        <v>2</v>
      </c>
      <c r="H330" s="1" t="s">
        <v>1028</v>
      </c>
      <c r="I330" s="1" t="s">
        <v>1029</v>
      </c>
      <c r="J330" s="1" t="s">
        <v>16</v>
      </c>
      <c r="K330" s="1" t="s">
        <v>1030</v>
      </c>
      <c r="L330" s="1" t="s">
        <v>585</v>
      </c>
      <c r="M330">
        <f t="shared" si="35"/>
        <v>670</v>
      </c>
      <c r="N330" t="str">
        <f t="shared" si="36"/>
        <v>1948-02-11</v>
      </c>
      <c r="O330">
        <f t="shared" si="37"/>
        <v>63</v>
      </c>
      <c r="P330" t="str">
        <f t="shared" si="38"/>
        <v>kobieta</v>
      </c>
      <c r="Q330">
        <f t="shared" si="39"/>
        <v>95</v>
      </c>
      <c r="R330">
        <f t="shared" si="40"/>
        <v>48</v>
      </c>
      <c r="S330">
        <f t="shared" ca="1" si="41"/>
        <v>0</v>
      </c>
    </row>
    <row r="331" spans="1:19">
      <c r="A331" s="1" t="s">
        <v>19</v>
      </c>
      <c r="B331" s="2">
        <v>235.97</v>
      </c>
      <c r="C331" s="1">
        <v>235.97</v>
      </c>
      <c r="D331" s="1" t="s">
        <v>1031</v>
      </c>
      <c r="E331" s="1">
        <v>12</v>
      </c>
      <c r="F331" s="3">
        <v>1100</v>
      </c>
      <c r="G331" s="1">
        <v>5</v>
      </c>
      <c r="H331" s="1" t="s">
        <v>1032</v>
      </c>
      <c r="I331" s="1" t="s">
        <v>1033</v>
      </c>
      <c r="J331" s="1" t="s">
        <v>1034</v>
      </c>
      <c r="K331" s="1" t="s">
        <v>1030</v>
      </c>
      <c r="L331" s="1" t="s">
        <v>740</v>
      </c>
      <c r="M331">
        <f t="shared" si="35"/>
        <v>235.97</v>
      </c>
      <c r="N331" t="str">
        <f t="shared" si="36"/>
        <v>1946-12-17</v>
      </c>
      <c r="O331">
        <f t="shared" si="37"/>
        <v>65</v>
      </c>
      <c r="P331" t="str">
        <f t="shared" si="38"/>
        <v>mężczyzna</v>
      </c>
      <c r="Q331">
        <f t="shared" si="39"/>
        <v>23</v>
      </c>
      <c r="R331">
        <f t="shared" si="40"/>
        <v>13</v>
      </c>
      <c r="S331">
        <f t="shared" ca="1" si="41"/>
        <v>0</v>
      </c>
    </row>
    <row r="332" spans="1:19">
      <c r="A332" s="1" t="s">
        <v>19</v>
      </c>
      <c r="B332" s="2">
        <v>450</v>
      </c>
      <c r="C332" s="1">
        <v>450</v>
      </c>
      <c r="D332" s="1" t="s">
        <v>108</v>
      </c>
      <c r="E332" s="1">
        <v>13</v>
      </c>
      <c r="F332" s="3">
        <v>729.03</v>
      </c>
      <c r="G332" s="1">
        <v>6</v>
      </c>
      <c r="H332" s="1" t="s">
        <v>1035</v>
      </c>
      <c r="I332" s="1" t="s">
        <v>110</v>
      </c>
      <c r="J332" s="1" t="s">
        <v>16</v>
      </c>
      <c r="K332" s="1" t="s">
        <v>1030</v>
      </c>
      <c r="L332" s="1" t="s">
        <v>740</v>
      </c>
      <c r="M332">
        <f t="shared" si="35"/>
        <v>450</v>
      </c>
      <c r="N332" t="str">
        <f t="shared" si="36"/>
        <v>1941-08-29</v>
      </c>
      <c r="O332">
        <f t="shared" si="37"/>
        <v>70</v>
      </c>
      <c r="P332" t="str">
        <f t="shared" si="38"/>
        <v>kobieta</v>
      </c>
      <c r="Q332">
        <f t="shared" si="39"/>
        <v>258</v>
      </c>
      <c r="R332">
        <f t="shared" si="40"/>
        <v>48</v>
      </c>
      <c r="S332">
        <f t="shared" ca="1" si="41"/>
        <v>0</v>
      </c>
    </row>
    <row r="333" spans="1:19">
      <c r="A333" s="1" t="s">
        <v>24</v>
      </c>
      <c r="B333" s="2">
        <v>500</v>
      </c>
      <c r="C333" s="1">
        <v>0</v>
      </c>
      <c r="D333" s="1" t="s">
        <v>1036</v>
      </c>
      <c r="E333" s="1">
        <v>12</v>
      </c>
      <c r="F333" s="3">
        <v>1883</v>
      </c>
      <c r="G333" s="1">
        <v>0</v>
      </c>
      <c r="H333" s="1" t="s">
        <v>1037</v>
      </c>
      <c r="I333" s="1" t="s">
        <v>1038</v>
      </c>
      <c r="J333" s="1" t="s">
        <v>1039</v>
      </c>
      <c r="K333" s="1" t="s">
        <v>16</v>
      </c>
      <c r="L333" s="1" t="s">
        <v>28</v>
      </c>
      <c r="M333">
        <f t="shared" si="35"/>
        <v>500</v>
      </c>
      <c r="N333" t="str">
        <f t="shared" si="36"/>
        <v>1984-12-21</v>
      </c>
      <c r="O333">
        <f t="shared" si="37"/>
        <v>27</v>
      </c>
      <c r="P333" t="str">
        <f t="shared" si="38"/>
        <v>mężczyzna</v>
      </c>
      <c r="Q333">
        <f t="shared" si="39"/>
        <v>30</v>
      </c>
      <c r="R333">
        <f t="shared" si="40"/>
        <v>7</v>
      </c>
      <c r="S333">
        <f t="shared" ca="1" si="41"/>
        <v>0</v>
      </c>
    </row>
    <row r="334" spans="1:19">
      <c r="A334" s="1" t="s">
        <v>12</v>
      </c>
      <c r="B334" s="2">
        <v>700</v>
      </c>
      <c r="C334" s="1">
        <v>700</v>
      </c>
      <c r="D334" s="1" t="s">
        <v>1040</v>
      </c>
      <c r="E334" s="1">
        <v>13</v>
      </c>
      <c r="F334" s="3">
        <v>930</v>
      </c>
      <c r="G334" s="1">
        <v>6</v>
      </c>
      <c r="H334" s="1" t="s">
        <v>1041</v>
      </c>
      <c r="I334" s="1" t="s">
        <v>1042</v>
      </c>
      <c r="J334" s="1" t="s">
        <v>16</v>
      </c>
      <c r="K334" s="1" t="s">
        <v>1030</v>
      </c>
      <c r="L334" s="1" t="s">
        <v>585</v>
      </c>
      <c r="M334">
        <f t="shared" si="35"/>
        <v>700</v>
      </c>
      <c r="N334" t="str">
        <f t="shared" si="36"/>
        <v>1946-01-01</v>
      </c>
      <c r="O334">
        <f t="shared" si="37"/>
        <v>65</v>
      </c>
      <c r="P334" t="str">
        <f t="shared" si="38"/>
        <v>kobieta</v>
      </c>
      <c r="Q334">
        <f t="shared" si="39"/>
        <v>132</v>
      </c>
      <c r="R334">
        <f t="shared" si="40"/>
        <v>48</v>
      </c>
      <c r="S334">
        <f t="shared" ca="1" si="41"/>
        <v>0</v>
      </c>
    </row>
    <row r="335" spans="1:19">
      <c r="A335" s="1" t="s">
        <v>19</v>
      </c>
      <c r="B335" s="2">
        <v>200</v>
      </c>
      <c r="C335" s="1">
        <v>200</v>
      </c>
      <c r="D335" s="1" t="s">
        <v>1043</v>
      </c>
      <c r="E335" s="1">
        <v>13</v>
      </c>
      <c r="F335" s="3">
        <v>975</v>
      </c>
      <c r="G335" s="1">
        <v>5</v>
      </c>
      <c r="H335" s="1" t="s">
        <v>1044</v>
      </c>
      <c r="I335" s="1" t="s">
        <v>506</v>
      </c>
      <c r="J335" s="1" t="s">
        <v>16</v>
      </c>
      <c r="K335" s="1" t="s">
        <v>1030</v>
      </c>
      <c r="L335" s="1" t="s">
        <v>740</v>
      </c>
      <c r="M335">
        <f t="shared" si="35"/>
        <v>200</v>
      </c>
      <c r="N335" t="str">
        <f t="shared" si="36"/>
        <v>1950-02-09</v>
      </c>
      <c r="O335">
        <f t="shared" si="37"/>
        <v>61</v>
      </c>
      <c r="P335" t="str">
        <f t="shared" si="38"/>
        <v>kobieta</v>
      </c>
      <c r="Q335">
        <f t="shared" si="39"/>
        <v>28</v>
      </c>
      <c r="R335">
        <f t="shared" si="40"/>
        <v>48</v>
      </c>
      <c r="S335">
        <f t="shared" ca="1" si="41"/>
        <v>0</v>
      </c>
    </row>
    <row r="336" spans="1:19">
      <c r="A336" s="1" t="s">
        <v>19</v>
      </c>
      <c r="B336" s="2">
        <v>399.72</v>
      </c>
      <c r="C336" s="1">
        <v>399.72</v>
      </c>
      <c r="D336" s="1" t="s">
        <v>1045</v>
      </c>
      <c r="E336" s="1">
        <v>12</v>
      </c>
      <c r="F336" s="3">
        <v>600</v>
      </c>
      <c r="G336" s="1">
        <v>6</v>
      </c>
      <c r="H336" s="1" t="s">
        <v>1046</v>
      </c>
      <c r="I336" s="1" t="s">
        <v>1047</v>
      </c>
      <c r="J336" s="1" t="s">
        <v>1048</v>
      </c>
      <c r="K336" s="1" t="s">
        <v>1030</v>
      </c>
      <c r="L336" s="1" t="s">
        <v>740</v>
      </c>
      <c r="M336">
        <f t="shared" si="35"/>
        <v>399.72</v>
      </c>
      <c r="N336" t="str">
        <f t="shared" si="36"/>
        <v>1964-03-31</v>
      </c>
      <c r="O336">
        <f t="shared" si="37"/>
        <v>47</v>
      </c>
      <c r="P336" t="str">
        <f t="shared" si="38"/>
        <v>mężczyzna</v>
      </c>
      <c r="Q336">
        <f t="shared" si="39"/>
        <v>10</v>
      </c>
      <c r="R336">
        <f t="shared" si="40"/>
        <v>17</v>
      </c>
      <c r="S336">
        <f t="shared" ca="1" si="41"/>
        <v>0</v>
      </c>
    </row>
    <row r="337" spans="1:19">
      <c r="A337" s="1" t="s">
        <v>19</v>
      </c>
      <c r="B337" s="2">
        <v>500</v>
      </c>
      <c r="C337" s="1">
        <v>500</v>
      </c>
      <c r="D337" s="1" t="s">
        <v>1049</v>
      </c>
      <c r="E337" s="1">
        <v>11</v>
      </c>
      <c r="F337" s="3">
        <v>1320</v>
      </c>
      <c r="G337" s="1">
        <v>5</v>
      </c>
      <c r="H337" s="1" t="s">
        <v>1050</v>
      </c>
      <c r="I337" s="1" t="s">
        <v>739</v>
      </c>
      <c r="J337" s="1" t="s">
        <v>16</v>
      </c>
      <c r="K337" s="1" t="s">
        <v>1030</v>
      </c>
      <c r="L337" s="1" t="s">
        <v>740</v>
      </c>
      <c r="M337">
        <f t="shared" si="35"/>
        <v>500</v>
      </c>
      <c r="N337" t="str">
        <f t="shared" si="36"/>
        <v>1958-09-17</v>
      </c>
      <c r="O337">
        <f t="shared" si="37"/>
        <v>53</v>
      </c>
      <c r="P337" t="str">
        <f t="shared" si="38"/>
        <v>mężczyzna</v>
      </c>
      <c r="Q337">
        <f t="shared" si="39"/>
        <v>343</v>
      </c>
      <c r="R337">
        <f t="shared" si="40"/>
        <v>48</v>
      </c>
      <c r="S337">
        <f t="shared" ca="1" si="41"/>
        <v>0</v>
      </c>
    </row>
    <row r="338" spans="1:19">
      <c r="A338" s="1" t="s">
        <v>19</v>
      </c>
      <c r="B338" s="2">
        <v>389.72</v>
      </c>
      <c r="C338" s="1">
        <v>389.72</v>
      </c>
      <c r="D338" s="1" t="s">
        <v>29</v>
      </c>
      <c r="E338" s="1">
        <v>13</v>
      </c>
      <c r="F338" s="3">
        <v>1170</v>
      </c>
      <c r="G338" s="1">
        <v>4</v>
      </c>
      <c r="H338" s="1" t="s">
        <v>1051</v>
      </c>
      <c r="I338" s="1" t="s">
        <v>31</v>
      </c>
      <c r="J338" s="1" t="s">
        <v>16</v>
      </c>
      <c r="K338" s="1" t="s">
        <v>1030</v>
      </c>
      <c r="L338" s="1" t="s">
        <v>313</v>
      </c>
      <c r="M338">
        <f t="shared" si="35"/>
        <v>389.72</v>
      </c>
      <c r="N338" t="str">
        <f t="shared" si="36"/>
        <v>1950-11-21</v>
      </c>
      <c r="O338">
        <f t="shared" si="37"/>
        <v>61</v>
      </c>
      <c r="P338" t="str">
        <f t="shared" si="38"/>
        <v>kobieta</v>
      </c>
      <c r="Q338">
        <f t="shared" si="39"/>
        <v>79</v>
      </c>
      <c r="R338">
        <f t="shared" si="40"/>
        <v>48</v>
      </c>
      <c r="S338">
        <f t="shared" ca="1" si="41"/>
        <v>0</v>
      </c>
    </row>
    <row r="339" spans="1:19">
      <c r="A339" s="1" t="s">
        <v>19</v>
      </c>
      <c r="B339" s="2">
        <v>200</v>
      </c>
      <c r="C339" s="1">
        <v>200</v>
      </c>
      <c r="D339" s="1" t="s">
        <v>1052</v>
      </c>
      <c r="E339" s="1">
        <v>12</v>
      </c>
      <c r="F339" s="3">
        <v>1032.3399999999999</v>
      </c>
      <c r="G339" s="1">
        <v>5</v>
      </c>
      <c r="H339" s="1" t="s">
        <v>1053</v>
      </c>
      <c r="I339" s="1" t="s">
        <v>1054</v>
      </c>
      <c r="J339" s="1" t="s">
        <v>507</v>
      </c>
      <c r="K339" s="1" t="s">
        <v>1030</v>
      </c>
      <c r="L339" s="1" t="s">
        <v>1055</v>
      </c>
      <c r="M339">
        <f t="shared" si="35"/>
        <v>200</v>
      </c>
      <c r="N339" t="str">
        <f t="shared" si="36"/>
        <v>1980-05-18</v>
      </c>
      <c r="O339">
        <f t="shared" si="37"/>
        <v>31</v>
      </c>
      <c r="P339" t="str">
        <f t="shared" si="38"/>
        <v>kobieta</v>
      </c>
      <c r="Q339">
        <f t="shared" si="39"/>
        <v>6</v>
      </c>
      <c r="R339">
        <f t="shared" si="40"/>
        <v>5</v>
      </c>
      <c r="S339">
        <f t="shared" ca="1" si="41"/>
        <v>11</v>
      </c>
    </row>
    <row r="340" spans="1:19">
      <c r="A340" s="1" t="s">
        <v>19</v>
      </c>
      <c r="B340" s="2">
        <v>200</v>
      </c>
      <c r="C340" s="1">
        <v>200</v>
      </c>
      <c r="D340" s="1" t="s">
        <v>20</v>
      </c>
      <c r="E340" s="1">
        <v>16</v>
      </c>
      <c r="F340" s="3">
        <v>959.6</v>
      </c>
      <c r="G340" s="1">
        <v>5</v>
      </c>
      <c r="H340" s="1" t="s">
        <v>1056</v>
      </c>
      <c r="I340" s="1" t="s">
        <v>22</v>
      </c>
      <c r="J340" s="1" t="s">
        <v>16</v>
      </c>
      <c r="K340" s="1" t="s">
        <v>1030</v>
      </c>
      <c r="L340" s="1" t="s">
        <v>842</v>
      </c>
      <c r="M340">
        <f t="shared" si="35"/>
        <v>200</v>
      </c>
      <c r="N340" t="str">
        <f t="shared" si="36"/>
        <v>1942-12-03</v>
      </c>
      <c r="O340">
        <f t="shared" si="37"/>
        <v>69</v>
      </c>
      <c r="P340" t="str">
        <f t="shared" si="38"/>
        <v>kobieta</v>
      </c>
      <c r="Q340">
        <f t="shared" si="39"/>
        <v>116</v>
      </c>
      <c r="R340">
        <f t="shared" si="40"/>
        <v>48</v>
      </c>
      <c r="S340">
        <f t="shared" ca="1" si="41"/>
        <v>5</v>
      </c>
    </row>
    <row r="341" spans="1:19">
      <c r="A341" s="1" t="s">
        <v>19</v>
      </c>
      <c r="B341" s="2">
        <v>200</v>
      </c>
      <c r="C341" s="1">
        <v>200</v>
      </c>
      <c r="D341" s="1" t="s">
        <v>1057</v>
      </c>
      <c r="E341" s="1">
        <v>13</v>
      </c>
      <c r="F341" s="3">
        <v>720.19</v>
      </c>
      <c r="G341" s="1">
        <v>3</v>
      </c>
      <c r="H341" s="1" t="s">
        <v>1058</v>
      </c>
      <c r="I341" s="1" t="s">
        <v>822</v>
      </c>
      <c r="J341" s="1" t="s">
        <v>16</v>
      </c>
      <c r="K341" s="1" t="s">
        <v>1030</v>
      </c>
      <c r="L341" s="1" t="s">
        <v>585</v>
      </c>
      <c r="M341">
        <f t="shared" si="35"/>
        <v>200</v>
      </c>
      <c r="N341" t="str">
        <f t="shared" si="36"/>
        <v>1944-02-02</v>
      </c>
      <c r="O341">
        <f t="shared" si="37"/>
        <v>67</v>
      </c>
      <c r="P341" t="str">
        <f t="shared" si="38"/>
        <v>kobieta</v>
      </c>
      <c r="Q341">
        <f t="shared" si="39"/>
        <v>94</v>
      </c>
      <c r="R341">
        <f t="shared" si="40"/>
        <v>48</v>
      </c>
      <c r="S341">
        <f t="shared" ca="1" si="41"/>
        <v>0</v>
      </c>
    </row>
    <row r="342" spans="1:19">
      <c r="A342" s="1" t="s">
        <v>19</v>
      </c>
      <c r="B342" s="2">
        <v>500</v>
      </c>
      <c r="C342" s="1">
        <v>500</v>
      </c>
      <c r="D342" s="1" t="s">
        <v>1059</v>
      </c>
      <c r="E342" s="1">
        <v>13</v>
      </c>
      <c r="F342" s="3">
        <v>1212</v>
      </c>
      <c r="G342" s="1">
        <v>5</v>
      </c>
      <c r="H342" s="1" t="s">
        <v>1060</v>
      </c>
      <c r="I342" s="1" t="s">
        <v>1061</v>
      </c>
      <c r="J342" s="1" t="s">
        <v>16</v>
      </c>
      <c r="K342" s="1" t="s">
        <v>1030</v>
      </c>
      <c r="L342" s="1" t="s">
        <v>313</v>
      </c>
      <c r="M342">
        <f t="shared" si="35"/>
        <v>500</v>
      </c>
      <c r="N342" t="str">
        <f t="shared" si="36"/>
        <v>1951-04-08</v>
      </c>
      <c r="O342">
        <f t="shared" si="37"/>
        <v>60</v>
      </c>
      <c r="P342" t="str">
        <f t="shared" si="38"/>
        <v>kobieta</v>
      </c>
      <c r="Q342">
        <f t="shared" si="39"/>
        <v>55</v>
      </c>
      <c r="R342">
        <f t="shared" si="40"/>
        <v>48</v>
      </c>
      <c r="S342">
        <f t="shared" ca="1" si="41"/>
        <v>0</v>
      </c>
    </row>
    <row r="343" spans="1:19">
      <c r="A343" s="1" t="s">
        <v>12</v>
      </c>
      <c r="B343" s="2">
        <v>200</v>
      </c>
      <c r="C343" s="1">
        <v>200</v>
      </c>
      <c r="D343" s="1" t="s">
        <v>1062</v>
      </c>
      <c r="E343" s="1">
        <v>16</v>
      </c>
      <c r="F343" s="3">
        <v>1740</v>
      </c>
      <c r="G343" s="1">
        <v>2</v>
      </c>
      <c r="H343" s="1" t="s">
        <v>1063</v>
      </c>
      <c r="I343" s="1" t="s">
        <v>1064</v>
      </c>
      <c r="J343" s="1" t="s">
        <v>16</v>
      </c>
      <c r="K343" s="1" t="s">
        <v>1030</v>
      </c>
      <c r="L343" s="1" t="s">
        <v>585</v>
      </c>
      <c r="M343">
        <f t="shared" si="35"/>
        <v>200</v>
      </c>
      <c r="N343" t="str">
        <f t="shared" si="36"/>
        <v>1958-04-26</v>
      </c>
      <c r="O343">
        <f t="shared" si="37"/>
        <v>53</v>
      </c>
      <c r="P343" t="str">
        <f t="shared" si="38"/>
        <v>kobieta</v>
      </c>
      <c r="Q343">
        <f t="shared" si="39"/>
        <v>115</v>
      </c>
      <c r="R343">
        <f t="shared" si="40"/>
        <v>48</v>
      </c>
      <c r="S343">
        <f t="shared" ca="1" si="41"/>
        <v>0</v>
      </c>
    </row>
    <row r="344" spans="1:19">
      <c r="A344" s="1" t="s">
        <v>19</v>
      </c>
      <c r="B344" s="2">
        <v>693.7</v>
      </c>
      <c r="C344" s="1">
        <v>693.7</v>
      </c>
      <c r="D344" s="1" t="s">
        <v>71</v>
      </c>
      <c r="E344" s="1">
        <v>11</v>
      </c>
      <c r="F344" s="3">
        <v>1900</v>
      </c>
      <c r="G344" s="1">
        <v>1</v>
      </c>
      <c r="H344" s="1" t="s">
        <v>1065</v>
      </c>
      <c r="I344" s="1" t="s">
        <v>73</v>
      </c>
      <c r="J344" s="1" t="s">
        <v>16</v>
      </c>
      <c r="K344" s="1" t="s">
        <v>1030</v>
      </c>
      <c r="L344" s="1" t="s">
        <v>877</v>
      </c>
      <c r="M344">
        <f t="shared" si="35"/>
        <v>693.7</v>
      </c>
      <c r="N344" t="str">
        <f t="shared" si="36"/>
        <v>1973-03-29</v>
      </c>
      <c r="O344">
        <f t="shared" si="37"/>
        <v>38</v>
      </c>
      <c r="P344" t="str">
        <f t="shared" si="38"/>
        <v>kobieta</v>
      </c>
      <c r="Q344">
        <f t="shared" si="39"/>
        <v>209</v>
      </c>
      <c r="R344">
        <f t="shared" si="40"/>
        <v>48</v>
      </c>
      <c r="S344">
        <f t="shared" ca="1" si="41"/>
        <v>3</v>
      </c>
    </row>
    <row r="345" spans="1:19">
      <c r="A345" s="1" t="s">
        <v>12</v>
      </c>
      <c r="B345" s="2">
        <v>400</v>
      </c>
      <c r="C345" s="1">
        <v>400</v>
      </c>
      <c r="D345" s="1" t="s">
        <v>1066</v>
      </c>
      <c r="E345" s="1">
        <v>13</v>
      </c>
      <c r="F345" s="3">
        <v>1474.55</v>
      </c>
      <c r="G345" s="1">
        <v>4</v>
      </c>
      <c r="H345" s="1" t="s">
        <v>1067</v>
      </c>
      <c r="I345" s="1" t="s">
        <v>669</v>
      </c>
      <c r="J345" s="1" t="s">
        <v>16</v>
      </c>
      <c r="K345" s="1" t="s">
        <v>1030</v>
      </c>
      <c r="L345" s="1" t="s">
        <v>995</v>
      </c>
      <c r="M345">
        <f t="shared" si="35"/>
        <v>400</v>
      </c>
      <c r="N345" t="str">
        <f t="shared" si="36"/>
        <v>1949-01-21</v>
      </c>
      <c r="O345">
        <f t="shared" si="37"/>
        <v>62</v>
      </c>
      <c r="P345" t="str">
        <f t="shared" si="38"/>
        <v>kobieta</v>
      </c>
      <c r="Q345">
        <f t="shared" si="39"/>
        <v>66</v>
      </c>
      <c r="R345">
        <f t="shared" si="40"/>
        <v>48</v>
      </c>
      <c r="S345">
        <f t="shared" ca="1" si="41"/>
        <v>6</v>
      </c>
    </row>
    <row r="346" spans="1:19">
      <c r="A346" s="1" t="s">
        <v>19</v>
      </c>
      <c r="B346" s="2">
        <v>400</v>
      </c>
      <c r="C346" s="1">
        <v>400</v>
      </c>
      <c r="D346" s="1" t="s">
        <v>1068</v>
      </c>
      <c r="E346" s="1">
        <v>13</v>
      </c>
      <c r="F346" s="3">
        <v>1213</v>
      </c>
      <c r="G346" s="1">
        <v>0</v>
      </c>
      <c r="H346" s="1" t="s">
        <v>1069</v>
      </c>
      <c r="I346" s="1" t="s">
        <v>1070</v>
      </c>
      <c r="J346" s="1" t="s">
        <v>16</v>
      </c>
      <c r="K346" s="1" t="s">
        <v>1030</v>
      </c>
      <c r="L346" s="1" t="s">
        <v>657</v>
      </c>
      <c r="M346">
        <f t="shared" si="35"/>
        <v>400</v>
      </c>
      <c r="N346" t="str">
        <f t="shared" si="36"/>
        <v>1958-08-05</v>
      </c>
      <c r="O346">
        <f t="shared" si="37"/>
        <v>53</v>
      </c>
      <c r="P346" t="str">
        <f t="shared" si="38"/>
        <v>kobieta</v>
      </c>
      <c r="Q346">
        <f t="shared" si="39"/>
        <v>51</v>
      </c>
      <c r="R346">
        <f t="shared" si="40"/>
        <v>48</v>
      </c>
      <c r="S346">
        <f t="shared" ca="1" si="41"/>
        <v>2</v>
      </c>
    </row>
    <row r="347" spans="1:19">
      <c r="A347" s="1" t="s">
        <v>19</v>
      </c>
      <c r="B347" s="2">
        <v>339.72</v>
      </c>
      <c r="C347" s="1">
        <v>339.72</v>
      </c>
      <c r="D347" s="1" t="s">
        <v>1071</v>
      </c>
      <c r="E347" s="1">
        <v>16</v>
      </c>
      <c r="F347" s="3">
        <v>1045.5999999999999</v>
      </c>
      <c r="G347" s="1">
        <v>6</v>
      </c>
      <c r="H347" s="1" t="s">
        <v>1072</v>
      </c>
      <c r="I347" s="1" t="s">
        <v>395</v>
      </c>
      <c r="J347" s="1" t="s">
        <v>16</v>
      </c>
      <c r="K347" s="1" t="s">
        <v>1030</v>
      </c>
      <c r="L347" s="1" t="s">
        <v>740</v>
      </c>
      <c r="M347">
        <f t="shared" si="35"/>
        <v>339.72</v>
      </c>
      <c r="N347" t="str">
        <f t="shared" si="36"/>
        <v>1957-10-24</v>
      </c>
      <c r="O347">
        <f t="shared" si="37"/>
        <v>54</v>
      </c>
      <c r="P347" t="str">
        <f t="shared" si="38"/>
        <v>kobieta</v>
      </c>
      <c r="Q347">
        <f t="shared" si="39"/>
        <v>13</v>
      </c>
      <c r="R347">
        <f t="shared" si="40"/>
        <v>48</v>
      </c>
      <c r="S347">
        <f t="shared" ca="1" si="41"/>
        <v>0</v>
      </c>
    </row>
    <row r="348" spans="1:19">
      <c r="A348" s="1" t="s">
        <v>19</v>
      </c>
      <c r="B348" s="2">
        <v>300</v>
      </c>
      <c r="C348" s="1">
        <v>300</v>
      </c>
      <c r="D348" s="1" t="s">
        <v>1073</v>
      </c>
      <c r="E348" s="1">
        <v>11</v>
      </c>
      <c r="F348" s="3">
        <v>1800</v>
      </c>
      <c r="G348" s="1">
        <v>5</v>
      </c>
      <c r="H348" s="1" t="s">
        <v>1074</v>
      </c>
      <c r="I348" s="1" t="s">
        <v>706</v>
      </c>
      <c r="J348" s="1" t="s">
        <v>16</v>
      </c>
      <c r="K348" s="1" t="s">
        <v>1030</v>
      </c>
      <c r="L348" s="1" t="s">
        <v>657</v>
      </c>
      <c r="M348">
        <f t="shared" si="35"/>
        <v>300</v>
      </c>
      <c r="N348" t="str">
        <f t="shared" si="36"/>
        <v>1978-06-03</v>
      </c>
      <c r="O348">
        <f t="shared" si="37"/>
        <v>33</v>
      </c>
      <c r="P348" t="str">
        <f t="shared" si="38"/>
        <v>mężczyzna</v>
      </c>
      <c r="Q348">
        <f t="shared" si="39"/>
        <v>166</v>
      </c>
      <c r="R348">
        <f t="shared" si="40"/>
        <v>48</v>
      </c>
      <c r="S348">
        <f t="shared" ca="1" si="41"/>
        <v>2</v>
      </c>
    </row>
    <row r="349" spans="1:19">
      <c r="A349" s="1" t="s">
        <v>19</v>
      </c>
      <c r="B349" s="2">
        <v>300</v>
      </c>
      <c r="C349" s="1">
        <v>300</v>
      </c>
      <c r="D349" s="1" t="s">
        <v>1075</v>
      </c>
      <c r="E349" s="1">
        <v>12</v>
      </c>
      <c r="F349" s="3">
        <v>1027</v>
      </c>
      <c r="G349" s="1">
        <v>5</v>
      </c>
      <c r="H349" s="1" t="s">
        <v>1076</v>
      </c>
      <c r="I349" s="1" t="s">
        <v>1077</v>
      </c>
      <c r="J349" s="1" t="s">
        <v>1078</v>
      </c>
      <c r="K349" s="1" t="s">
        <v>1030</v>
      </c>
      <c r="L349" s="1" t="s">
        <v>740</v>
      </c>
      <c r="M349">
        <f t="shared" si="35"/>
        <v>300</v>
      </c>
      <c r="N349" t="str">
        <f t="shared" si="36"/>
        <v>1972-05-12</v>
      </c>
      <c r="O349">
        <f t="shared" si="37"/>
        <v>39</v>
      </c>
      <c r="P349" t="str">
        <f t="shared" si="38"/>
        <v>kobieta</v>
      </c>
      <c r="Q349">
        <f t="shared" si="39"/>
        <v>10</v>
      </c>
      <c r="R349">
        <f t="shared" si="40"/>
        <v>48</v>
      </c>
      <c r="S349">
        <f t="shared" ca="1" si="41"/>
        <v>0</v>
      </c>
    </row>
    <row r="350" spans="1:19">
      <c r="A350" s="1" t="s">
        <v>19</v>
      </c>
      <c r="B350" s="2">
        <v>800</v>
      </c>
      <c r="C350" s="1">
        <v>400</v>
      </c>
      <c r="D350" s="1" t="s">
        <v>1079</v>
      </c>
      <c r="E350" s="1">
        <v>11</v>
      </c>
      <c r="F350" s="3">
        <v>2000</v>
      </c>
      <c r="G350" s="1">
        <v>0</v>
      </c>
      <c r="H350" s="1" t="s">
        <v>1080</v>
      </c>
      <c r="I350" s="1" t="s">
        <v>1081</v>
      </c>
      <c r="J350" s="1" t="s">
        <v>16</v>
      </c>
      <c r="K350" s="1" t="s">
        <v>1030</v>
      </c>
      <c r="L350" s="1" t="s">
        <v>740</v>
      </c>
      <c r="M350">
        <f t="shared" si="35"/>
        <v>400</v>
      </c>
      <c r="N350" t="str">
        <f t="shared" si="36"/>
        <v>1952-04-06</v>
      </c>
      <c r="O350">
        <f t="shared" si="37"/>
        <v>59</v>
      </c>
      <c r="P350" t="str">
        <f t="shared" si="38"/>
        <v>mężczyzna</v>
      </c>
      <c r="Q350">
        <f t="shared" si="39"/>
        <v>71</v>
      </c>
      <c r="R350">
        <f t="shared" si="40"/>
        <v>48</v>
      </c>
      <c r="S350">
        <f t="shared" ca="1" si="41"/>
        <v>0</v>
      </c>
    </row>
    <row r="351" spans="1:19">
      <c r="A351" s="1" t="s">
        <v>19</v>
      </c>
      <c r="B351" s="2">
        <v>200</v>
      </c>
      <c r="C351" s="1">
        <v>200</v>
      </c>
      <c r="D351" s="1" t="s">
        <v>64</v>
      </c>
      <c r="E351" s="1">
        <v>13</v>
      </c>
      <c r="F351" s="3">
        <v>997</v>
      </c>
      <c r="G351" s="1">
        <v>5</v>
      </c>
      <c r="H351" s="1" t="s">
        <v>1082</v>
      </c>
      <c r="I351" s="1" t="s">
        <v>66</v>
      </c>
      <c r="J351" s="1" t="s">
        <v>16</v>
      </c>
      <c r="K351" s="1" t="s">
        <v>1030</v>
      </c>
      <c r="L351" s="1" t="s">
        <v>740</v>
      </c>
      <c r="M351">
        <f t="shared" si="35"/>
        <v>200</v>
      </c>
      <c r="N351" t="str">
        <f t="shared" si="36"/>
        <v>1950-01-10</v>
      </c>
      <c r="O351">
        <f t="shared" si="37"/>
        <v>61</v>
      </c>
      <c r="P351" t="str">
        <f t="shared" si="38"/>
        <v>kobieta</v>
      </c>
      <c r="Q351">
        <f t="shared" si="39"/>
        <v>80</v>
      </c>
      <c r="R351">
        <f t="shared" si="40"/>
        <v>48</v>
      </c>
      <c r="S351">
        <f t="shared" ca="1" si="41"/>
        <v>0</v>
      </c>
    </row>
    <row r="352" spans="1:19">
      <c r="A352" s="1" t="s">
        <v>12</v>
      </c>
      <c r="B352" s="2">
        <v>200</v>
      </c>
      <c r="C352" s="1">
        <v>200</v>
      </c>
      <c r="D352" s="1" t="s">
        <v>1083</v>
      </c>
      <c r="E352" s="1">
        <v>12</v>
      </c>
      <c r="F352" s="3">
        <v>1350</v>
      </c>
      <c r="G352" s="1">
        <v>5</v>
      </c>
      <c r="H352" s="1" t="s">
        <v>1084</v>
      </c>
      <c r="I352" s="1" t="s">
        <v>1085</v>
      </c>
      <c r="J352" s="1" t="s">
        <v>63</v>
      </c>
      <c r="K352" s="1" t="s">
        <v>1030</v>
      </c>
      <c r="L352" s="1" t="s">
        <v>657</v>
      </c>
      <c r="M352">
        <f t="shared" si="35"/>
        <v>200</v>
      </c>
      <c r="N352" t="str">
        <f t="shared" si="36"/>
        <v>1956-03-10</v>
      </c>
      <c r="O352">
        <f t="shared" si="37"/>
        <v>55</v>
      </c>
      <c r="P352" t="str">
        <f t="shared" si="38"/>
        <v>kobieta</v>
      </c>
      <c r="Q352">
        <f t="shared" si="39"/>
        <v>23</v>
      </c>
      <c r="R352">
        <f t="shared" si="40"/>
        <v>1</v>
      </c>
      <c r="S352">
        <f t="shared" ca="1" si="41"/>
        <v>2</v>
      </c>
    </row>
    <row r="353" spans="1:19">
      <c r="A353" s="1" t="s">
        <v>19</v>
      </c>
      <c r="B353" s="2">
        <v>265.58</v>
      </c>
      <c r="C353" s="1">
        <v>265.58</v>
      </c>
      <c r="D353" s="1" t="s">
        <v>1086</v>
      </c>
      <c r="E353" s="1">
        <v>13</v>
      </c>
      <c r="F353" s="3">
        <v>1189</v>
      </c>
      <c r="G353" s="1">
        <v>5</v>
      </c>
      <c r="H353" s="1" t="s">
        <v>1087</v>
      </c>
      <c r="I353" s="1" t="s">
        <v>303</v>
      </c>
      <c r="J353" s="1" t="s">
        <v>16</v>
      </c>
      <c r="K353" s="1" t="s">
        <v>1030</v>
      </c>
      <c r="L353" s="1" t="s">
        <v>585</v>
      </c>
      <c r="M353">
        <f t="shared" si="35"/>
        <v>265.58</v>
      </c>
      <c r="N353" t="str">
        <f t="shared" si="36"/>
        <v>1949-12-01</v>
      </c>
      <c r="O353">
        <f t="shared" si="37"/>
        <v>62</v>
      </c>
      <c r="P353" t="str">
        <f t="shared" si="38"/>
        <v>kobieta</v>
      </c>
      <c r="Q353">
        <f t="shared" si="39"/>
        <v>71</v>
      </c>
      <c r="R353">
        <f t="shared" si="40"/>
        <v>48</v>
      </c>
      <c r="S353">
        <f t="shared" ca="1" si="41"/>
        <v>0</v>
      </c>
    </row>
    <row r="354" spans="1:19">
      <c r="A354" s="1" t="s">
        <v>19</v>
      </c>
      <c r="B354" s="2">
        <v>563.44000000000005</v>
      </c>
      <c r="C354" s="1">
        <v>563.44000000000005</v>
      </c>
      <c r="D354" s="1" t="s">
        <v>1088</v>
      </c>
      <c r="E354" s="1">
        <v>13</v>
      </c>
      <c r="F354" s="3">
        <v>2000</v>
      </c>
      <c r="G354" s="1">
        <v>0</v>
      </c>
      <c r="H354" s="1" t="s">
        <v>1089</v>
      </c>
      <c r="I354" s="1" t="s">
        <v>1090</v>
      </c>
      <c r="J354" s="1" t="s">
        <v>16</v>
      </c>
      <c r="K354" s="1" t="s">
        <v>1030</v>
      </c>
      <c r="L354" s="1" t="s">
        <v>804</v>
      </c>
      <c r="M354">
        <f t="shared" si="35"/>
        <v>563.44000000000005</v>
      </c>
      <c r="N354" t="str">
        <f t="shared" si="36"/>
        <v>1943-01-22</v>
      </c>
      <c r="O354">
        <f t="shared" si="37"/>
        <v>68</v>
      </c>
      <c r="P354" t="str">
        <f t="shared" si="38"/>
        <v>mężczyzna</v>
      </c>
      <c r="Q354">
        <f t="shared" si="39"/>
        <v>46</v>
      </c>
      <c r="R354">
        <f t="shared" si="40"/>
        <v>48</v>
      </c>
      <c r="S354">
        <f t="shared" ca="1" si="41"/>
        <v>10</v>
      </c>
    </row>
    <row r="355" spans="1:19">
      <c r="A355" s="1" t="s">
        <v>19</v>
      </c>
      <c r="B355" s="2">
        <v>1000</v>
      </c>
      <c r="C355" s="1">
        <v>1000</v>
      </c>
      <c r="D355" s="1" t="s">
        <v>1091</v>
      </c>
      <c r="E355" s="1">
        <v>11</v>
      </c>
      <c r="F355" s="3">
        <v>5800</v>
      </c>
      <c r="G355" s="1">
        <v>5</v>
      </c>
      <c r="H355" s="1" t="s">
        <v>1092</v>
      </c>
      <c r="I355" s="1" t="s">
        <v>1093</v>
      </c>
      <c r="J355" s="1" t="s">
        <v>16</v>
      </c>
      <c r="K355" s="1" t="s">
        <v>1030</v>
      </c>
      <c r="L355" s="1" t="s">
        <v>657</v>
      </c>
      <c r="M355">
        <f t="shared" si="35"/>
        <v>1000</v>
      </c>
      <c r="N355" t="str">
        <f t="shared" si="36"/>
        <v>1964-04-01</v>
      </c>
      <c r="O355">
        <f t="shared" si="37"/>
        <v>47</v>
      </c>
      <c r="P355" t="str">
        <f t="shared" si="38"/>
        <v>kobieta</v>
      </c>
      <c r="Q355">
        <f t="shared" si="39"/>
        <v>55</v>
      </c>
      <c r="R355">
        <f t="shared" si="40"/>
        <v>48</v>
      </c>
      <c r="S355">
        <f t="shared" ca="1" si="41"/>
        <v>2</v>
      </c>
    </row>
    <row r="356" spans="1:19">
      <c r="A356" s="1" t="s">
        <v>19</v>
      </c>
      <c r="B356" s="2">
        <v>500</v>
      </c>
      <c r="C356" s="1">
        <v>500</v>
      </c>
      <c r="D356" s="1" t="s">
        <v>1094</v>
      </c>
      <c r="E356" s="1">
        <v>13</v>
      </c>
      <c r="F356" s="3">
        <v>1362</v>
      </c>
      <c r="G356" s="1">
        <v>5</v>
      </c>
      <c r="H356" s="1" t="s">
        <v>1095</v>
      </c>
      <c r="I356" s="1" t="s">
        <v>1000</v>
      </c>
      <c r="J356" s="1" t="s">
        <v>16</v>
      </c>
      <c r="K356" s="1" t="s">
        <v>1096</v>
      </c>
      <c r="L356" s="1" t="s">
        <v>842</v>
      </c>
      <c r="M356">
        <f t="shared" si="35"/>
        <v>500</v>
      </c>
      <c r="N356" t="str">
        <f t="shared" si="36"/>
        <v>1950-09-11</v>
      </c>
      <c r="O356">
        <f t="shared" si="37"/>
        <v>61</v>
      </c>
      <c r="P356" t="str">
        <f t="shared" si="38"/>
        <v>kobieta</v>
      </c>
      <c r="Q356">
        <f t="shared" si="39"/>
        <v>57</v>
      </c>
      <c r="R356">
        <f t="shared" si="40"/>
        <v>48</v>
      </c>
      <c r="S356">
        <f t="shared" ca="1" si="41"/>
        <v>1</v>
      </c>
    </row>
    <row r="357" spans="1:19">
      <c r="A357" s="1" t="s">
        <v>19</v>
      </c>
      <c r="B357" s="2">
        <v>800</v>
      </c>
      <c r="C357" s="1">
        <v>800</v>
      </c>
      <c r="D357" s="1" t="s">
        <v>1097</v>
      </c>
      <c r="E357" s="1">
        <v>12</v>
      </c>
      <c r="F357" s="3">
        <v>1500</v>
      </c>
      <c r="G357" s="1">
        <v>2</v>
      </c>
      <c r="H357" s="1" t="s">
        <v>1098</v>
      </c>
      <c r="I357" s="1" t="s">
        <v>1099</v>
      </c>
      <c r="J357" s="1" t="s">
        <v>63</v>
      </c>
      <c r="K357" s="1" t="s">
        <v>1096</v>
      </c>
      <c r="L357" s="1" t="s">
        <v>842</v>
      </c>
      <c r="M357">
        <f t="shared" si="35"/>
        <v>800</v>
      </c>
      <c r="N357" t="str">
        <f t="shared" si="36"/>
        <v>1976-12-16</v>
      </c>
      <c r="O357">
        <f t="shared" si="37"/>
        <v>35</v>
      </c>
      <c r="P357" t="str">
        <f t="shared" si="38"/>
        <v>mężczyzna</v>
      </c>
      <c r="Q357">
        <f t="shared" si="39"/>
        <v>34</v>
      </c>
      <c r="R357">
        <f t="shared" si="40"/>
        <v>1</v>
      </c>
      <c r="S357">
        <f t="shared" ca="1" si="41"/>
        <v>1</v>
      </c>
    </row>
    <row r="358" spans="1:19">
      <c r="A358" s="1" t="s">
        <v>56</v>
      </c>
      <c r="B358" s="2">
        <v>500</v>
      </c>
      <c r="C358" s="1">
        <v>500</v>
      </c>
      <c r="D358" s="1" t="s">
        <v>1100</v>
      </c>
      <c r="E358" s="1">
        <v>11</v>
      </c>
      <c r="F358" s="3">
        <v>2105</v>
      </c>
      <c r="G358" s="1">
        <v>0</v>
      </c>
      <c r="H358" s="1" t="s">
        <v>1101</v>
      </c>
      <c r="I358" s="1" t="s">
        <v>676</v>
      </c>
      <c r="J358" s="1" t="s">
        <v>16</v>
      </c>
      <c r="K358" s="1" t="s">
        <v>1096</v>
      </c>
      <c r="L358" s="1" t="s">
        <v>28</v>
      </c>
      <c r="M358">
        <f t="shared" si="35"/>
        <v>500</v>
      </c>
      <c r="N358" t="str">
        <f t="shared" si="36"/>
        <v>1967-06-17</v>
      </c>
      <c r="O358">
        <f t="shared" si="37"/>
        <v>44</v>
      </c>
      <c r="P358" t="str">
        <f t="shared" si="38"/>
        <v>kobieta</v>
      </c>
      <c r="Q358">
        <f t="shared" si="39"/>
        <v>24</v>
      </c>
      <c r="R358">
        <f t="shared" si="40"/>
        <v>48</v>
      </c>
      <c r="S358">
        <f t="shared" ca="1" si="41"/>
        <v>5242</v>
      </c>
    </row>
    <row r="359" spans="1:19">
      <c r="A359" s="1" t="s">
        <v>19</v>
      </c>
      <c r="B359" s="2">
        <v>300</v>
      </c>
      <c r="C359" s="1">
        <v>300</v>
      </c>
      <c r="D359" s="1" t="s">
        <v>131</v>
      </c>
      <c r="E359" s="1">
        <v>16</v>
      </c>
      <c r="F359" s="3">
        <v>1132</v>
      </c>
      <c r="G359" s="1">
        <v>2</v>
      </c>
      <c r="H359" s="1" t="s">
        <v>1102</v>
      </c>
      <c r="I359" s="1" t="s">
        <v>133</v>
      </c>
      <c r="J359" s="1" t="s">
        <v>16</v>
      </c>
      <c r="K359" s="1" t="s">
        <v>1096</v>
      </c>
      <c r="L359" s="1" t="s">
        <v>1103</v>
      </c>
      <c r="M359">
        <f t="shared" si="35"/>
        <v>300</v>
      </c>
      <c r="N359" t="str">
        <f t="shared" si="36"/>
        <v>1947-06-03</v>
      </c>
      <c r="O359">
        <f t="shared" si="37"/>
        <v>64</v>
      </c>
      <c r="P359" t="str">
        <f t="shared" si="38"/>
        <v>kobieta</v>
      </c>
      <c r="Q359">
        <f t="shared" si="39"/>
        <v>98</v>
      </c>
      <c r="R359">
        <f t="shared" si="40"/>
        <v>48</v>
      </c>
      <c r="S359">
        <f t="shared" ca="1" si="41"/>
        <v>13</v>
      </c>
    </row>
    <row r="360" spans="1:19">
      <c r="A360" s="1" t="s">
        <v>19</v>
      </c>
      <c r="B360" s="2">
        <v>300</v>
      </c>
      <c r="C360" s="1">
        <v>300</v>
      </c>
      <c r="D360" s="1" t="s">
        <v>276</v>
      </c>
      <c r="E360" s="1">
        <v>13</v>
      </c>
      <c r="F360" s="3">
        <v>1295.3699999999999</v>
      </c>
      <c r="G360" s="1">
        <v>1</v>
      </c>
      <c r="H360" s="1" t="s">
        <v>1104</v>
      </c>
      <c r="I360" s="1" t="s">
        <v>278</v>
      </c>
      <c r="J360" s="1" t="s">
        <v>16</v>
      </c>
      <c r="K360" s="1" t="s">
        <v>1096</v>
      </c>
      <c r="L360" s="1" t="s">
        <v>939</v>
      </c>
      <c r="M360">
        <f t="shared" si="35"/>
        <v>300</v>
      </c>
      <c r="N360" t="str">
        <f t="shared" si="36"/>
        <v>1940-11-07</v>
      </c>
      <c r="O360">
        <f t="shared" si="37"/>
        <v>71</v>
      </c>
      <c r="P360" t="str">
        <f t="shared" si="38"/>
        <v>mężczyzna</v>
      </c>
      <c r="Q360">
        <f t="shared" si="39"/>
        <v>308</v>
      </c>
      <c r="R360">
        <f t="shared" si="40"/>
        <v>48</v>
      </c>
      <c r="S360">
        <f t="shared" ca="1" si="41"/>
        <v>0</v>
      </c>
    </row>
    <row r="361" spans="1:19">
      <c r="A361" s="1" t="s">
        <v>19</v>
      </c>
      <c r="B361" s="2">
        <v>300</v>
      </c>
      <c r="C361" s="1">
        <v>300</v>
      </c>
      <c r="D361" s="1" t="s">
        <v>152</v>
      </c>
      <c r="E361" s="1">
        <v>13</v>
      </c>
      <c r="F361" s="3">
        <v>936</v>
      </c>
      <c r="G361" s="1">
        <v>3</v>
      </c>
      <c r="H361" s="1" t="s">
        <v>1105</v>
      </c>
      <c r="I361" s="1" t="s">
        <v>154</v>
      </c>
      <c r="J361" s="1" t="s">
        <v>16</v>
      </c>
      <c r="K361" s="1" t="s">
        <v>1096</v>
      </c>
      <c r="L361" s="1" t="s">
        <v>313</v>
      </c>
      <c r="M361">
        <f t="shared" si="35"/>
        <v>300</v>
      </c>
      <c r="N361" t="str">
        <f t="shared" si="36"/>
        <v>1951-11-18</v>
      </c>
      <c r="O361">
        <f t="shared" si="37"/>
        <v>60</v>
      </c>
      <c r="P361" t="str">
        <f t="shared" si="38"/>
        <v>kobieta</v>
      </c>
      <c r="Q361">
        <f t="shared" si="39"/>
        <v>32</v>
      </c>
      <c r="R361">
        <f t="shared" si="40"/>
        <v>48</v>
      </c>
      <c r="S361">
        <f t="shared" ca="1" si="41"/>
        <v>0</v>
      </c>
    </row>
    <row r="362" spans="1:19">
      <c r="A362" s="1" t="s">
        <v>19</v>
      </c>
      <c r="B362" s="2">
        <v>375.81</v>
      </c>
      <c r="C362" s="1">
        <v>375.81</v>
      </c>
      <c r="D362" s="1" t="s">
        <v>1106</v>
      </c>
      <c r="E362" s="1">
        <v>11</v>
      </c>
      <c r="F362" s="3">
        <v>1888.27</v>
      </c>
      <c r="G362" s="1">
        <v>0</v>
      </c>
      <c r="H362" s="1" t="s">
        <v>1107</v>
      </c>
      <c r="I362" s="1" t="s">
        <v>1108</v>
      </c>
      <c r="J362" s="1" t="s">
        <v>16</v>
      </c>
      <c r="K362" s="1" t="s">
        <v>1096</v>
      </c>
      <c r="L362" s="1" t="s">
        <v>1109</v>
      </c>
      <c r="M362">
        <f t="shared" si="35"/>
        <v>375.81</v>
      </c>
      <c r="N362" t="str">
        <f t="shared" si="36"/>
        <v>1982-06-15</v>
      </c>
      <c r="O362">
        <f t="shared" si="37"/>
        <v>29</v>
      </c>
      <c r="P362" t="str">
        <f t="shared" si="38"/>
        <v>mężczyzna</v>
      </c>
      <c r="Q362">
        <f t="shared" si="39"/>
        <v>78</v>
      </c>
      <c r="R362">
        <f t="shared" si="40"/>
        <v>48</v>
      </c>
      <c r="S362">
        <f t="shared" ca="1" si="41"/>
        <v>3</v>
      </c>
    </row>
    <row r="363" spans="1:19">
      <c r="A363" s="1" t="s">
        <v>19</v>
      </c>
      <c r="B363" s="2">
        <v>600</v>
      </c>
      <c r="C363" s="1">
        <v>600</v>
      </c>
      <c r="D363" s="1" t="s">
        <v>119</v>
      </c>
      <c r="E363" s="1">
        <v>11</v>
      </c>
      <c r="F363" s="3">
        <v>1290</v>
      </c>
      <c r="G363" s="1">
        <v>5</v>
      </c>
      <c r="H363" s="1" t="s">
        <v>1110</v>
      </c>
      <c r="I363" s="1" t="s">
        <v>121</v>
      </c>
      <c r="J363" s="1" t="s">
        <v>16</v>
      </c>
      <c r="K363" s="1" t="s">
        <v>1096</v>
      </c>
      <c r="L363" s="1" t="s">
        <v>1111</v>
      </c>
      <c r="M363">
        <f t="shared" si="35"/>
        <v>600</v>
      </c>
      <c r="N363" t="str">
        <f t="shared" si="36"/>
        <v>1979-06-17</v>
      </c>
      <c r="O363">
        <f t="shared" si="37"/>
        <v>32</v>
      </c>
      <c r="P363" t="str">
        <f t="shared" si="38"/>
        <v>kobieta</v>
      </c>
      <c r="Q363">
        <f t="shared" si="39"/>
        <v>20</v>
      </c>
      <c r="R363">
        <f t="shared" si="40"/>
        <v>48</v>
      </c>
      <c r="S363">
        <f t="shared" ca="1" si="41"/>
        <v>5</v>
      </c>
    </row>
    <row r="364" spans="1:19">
      <c r="A364" s="1" t="s">
        <v>12</v>
      </c>
      <c r="B364" s="2">
        <v>426.61</v>
      </c>
      <c r="C364" s="1">
        <v>426.61</v>
      </c>
      <c r="D364" s="1" t="s">
        <v>84</v>
      </c>
      <c r="E364" s="1">
        <v>11</v>
      </c>
      <c r="F364" s="3">
        <v>2470</v>
      </c>
      <c r="G364" s="1">
        <v>6</v>
      </c>
      <c r="H364" s="1" t="s">
        <v>1112</v>
      </c>
      <c r="I364" s="1" t="s">
        <v>86</v>
      </c>
      <c r="J364" s="1" t="s">
        <v>16</v>
      </c>
      <c r="K364" s="1" t="s">
        <v>1096</v>
      </c>
      <c r="L364" s="1" t="s">
        <v>877</v>
      </c>
      <c r="M364">
        <f t="shared" si="35"/>
        <v>426.61</v>
      </c>
      <c r="N364" t="str">
        <f t="shared" si="36"/>
        <v>1962-02-13</v>
      </c>
      <c r="O364">
        <f t="shared" si="37"/>
        <v>49</v>
      </c>
      <c r="P364" t="str">
        <f t="shared" si="38"/>
        <v>kobieta</v>
      </c>
      <c r="Q364">
        <f t="shared" si="39"/>
        <v>355</v>
      </c>
      <c r="R364">
        <f t="shared" si="40"/>
        <v>48</v>
      </c>
      <c r="S364">
        <f t="shared" ca="1" si="41"/>
        <v>0</v>
      </c>
    </row>
    <row r="365" spans="1:19">
      <c r="A365" s="1" t="s">
        <v>19</v>
      </c>
      <c r="B365" s="2">
        <v>200</v>
      </c>
      <c r="C365" s="1">
        <v>200</v>
      </c>
      <c r="D365" s="1" t="s">
        <v>134</v>
      </c>
      <c r="E365" s="1">
        <v>13</v>
      </c>
      <c r="F365" s="3">
        <v>616</v>
      </c>
      <c r="G365" s="1">
        <v>5</v>
      </c>
      <c r="H365" s="1" t="s">
        <v>1113</v>
      </c>
      <c r="I365" s="1" t="s">
        <v>136</v>
      </c>
      <c r="J365" s="1" t="s">
        <v>16</v>
      </c>
      <c r="K365" s="1" t="s">
        <v>1096</v>
      </c>
      <c r="L365" s="1" t="s">
        <v>1109</v>
      </c>
      <c r="M365">
        <f t="shared" si="35"/>
        <v>200</v>
      </c>
      <c r="N365" t="str">
        <f t="shared" si="36"/>
        <v>1936-04-22</v>
      </c>
      <c r="O365">
        <f t="shared" si="37"/>
        <v>75</v>
      </c>
      <c r="P365" t="str">
        <f t="shared" si="38"/>
        <v>kobieta</v>
      </c>
      <c r="Q365">
        <f t="shared" si="39"/>
        <v>247</v>
      </c>
      <c r="R365">
        <f t="shared" si="40"/>
        <v>48</v>
      </c>
      <c r="S365">
        <f t="shared" ca="1" si="41"/>
        <v>3</v>
      </c>
    </row>
    <row r="366" spans="1:19">
      <c r="A366" s="1" t="s">
        <v>19</v>
      </c>
      <c r="B366" s="2">
        <v>600</v>
      </c>
      <c r="C366" s="1">
        <v>600</v>
      </c>
      <c r="D366" s="1" t="s">
        <v>167</v>
      </c>
      <c r="E366" s="1">
        <v>11</v>
      </c>
      <c r="F366" s="3">
        <v>2800</v>
      </c>
      <c r="G366" s="1">
        <v>5</v>
      </c>
      <c r="H366" s="1" t="s">
        <v>1114</v>
      </c>
      <c r="I366" s="1" t="s">
        <v>169</v>
      </c>
      <c r="J366" s="1" t="s">
        <v>16</v>
      </c>
      <c r="K366" s="1" t="s">
        <v>1096</v>
      </c>
      <c r="L366" s="1" t="s">
        <v>842</v>
      </c>
      <c r="M366">
        <f t="shared" si="35"/>
        <v>600</v>
      </c>
      <c r="N366" t="str">
        <f t="shared" si="36"/>
        <v>1962-05-26</v>
      </c>
      <c r="O366">
        <f t="shared" si="37"/>
        <v>49</v>
      </c>
      <c r="P366" t="str">
        <f t="shared" si="38"/>
        <v>kobieta</v>
      </c>
      <c r="Q366">
        <f t="shared" si="39"/>
        <v>320</v>
      </c>
      <c r="R366">
        <f t="shared" si="40"/>
        <v>48</v>
      </c>
      <c r="S366">
        <f t="shared" ca="1" si="41"/>
        <v>1</v>
      </c>
    </row>
    <row r="367" spans="1:19">
      <c r="A367" s="1" t="s">
        <v>24</v>
      </c>
      <c r="B367" s="2">
        <v>600</v>
      </c>
      <c r="C367" s="1">
        <v>0</v>
      </c>
      <c r="D367" s="1" t="s">
        <v>1115</v>
      </c>
      <c r="E367" s="1">
        <v>11</v>
      </c>
      <c r="F367" s="3">
        <v>1900</v>
      </c>
      <c r="G367" s="1">
        <v>0</v>
      </c>
      <c r="H367" s="1" t="s">
        <v>1116</v>
      </c>
      <c r="I367" s="1" t="s">
        <v>1117</v>
      </c>
      <c r="J367" s="1" t="s">
        <v>16</v>
      </c>
      <c r="K367" s="1" t="s">
        <v>16</v>
      </c>
      <c r="L367" s="1" t="s">
        <v>28</v>
      </c>
      <c r="M367">
        <f t="shared" si="35"/>
        <v>600</v>
      </c>
      <c r="N367" t="str">
        <f t="shared" si="36"/>
        <v>1982-03-31</v>
      </c>
      <c r="O367">
        <f t="shared" si="37"/>
        <v>29</v>
      </c>
      <c r="P367" t="str">
        <f t="shared" si="38"/>
        <v>mężczyzna</v>
      </c>
      <c r="Q367">
        <f t="shared" si="39"/>
        <v>59</v>
      </c>
      <c r="R367">
        <f t="shared" si="40"/>
        <v>48</v>
      </c>
      <c r="S367">
        <f t="shared" ca="1" si="41"/>
        <v>0</v>
      </c>
    </row>
    <row r="368" spans="1:19">
      <c r="A368" s="1" t="s">
        <v>12</v>
      </c>
      <c r="B368" s="2">
        <v>500</v>
      </c>
      <c r="C368" s="1">
        <v>500</v>
      </c>
      <c r="D368" s="1" t="s">
        <v>1118</v>
      </c>
      <c r="E368" s="1">
        <v>13</v>
      </c>
      <c r="F368" s="3">
        <v>640</v>
      </c>
      <c r="G368" s="1">
        <v>2</v>
      </c>
      <c r="H368" s="1" t="s">
        <v>1119</v>
      </c>
      <c r="I368" s="1" t="s">
        <v>1120</v>
      </c>
      <c r="J368" s="1" t="s">
        <v>16</v>
      </c>
      <c r="K368" s="1" t="s">
        <v>1096</v>
      </c>
      <c r="L368" s="1" t="s">
        <v>585</v>
      </c>
      <c r="M368">
        <f t="shared" si="35"/>
        <v>500</v>
      </c>
      <c r="N368" t="str">
        <f t="shared" si="36"/>
        <v>1939-11-24</v>
      </c>
      <c r="O368">
        <f t="shared" si="37"/>
        <v>72</v>
      </c>
      <c r="P368" t="str">
        <f t="shared" si="38"/>
        <v>kobieta</v>
      </c>
      <c r="Q368">
        <f t="shared" si="39"/>
        <v>140</v>
      </c>
      <c r="R368">
        <f t="shared" si="40"/>
        <v>48</v>
      </c>
      <c r="S368">
        <f t="shared" ca="1" si="41"/>
        <v>0</v>
      </c>
    </row>
    <row r="369" spans="1:19">
      <c r="A369" s="1" t="s">
        <v>19</v>
      </c>
      <c r="B369" s="2">
        <v>400</v>
      </c>
      <c r="C369" s="1">
        <v>400</v>
      </c>
      <c r="D369" s="1" t="s">
        <v>1121</v>
      </c>
      <c r="E369" s="1">
        <v>13</v>
      </c>
      <c r="F369" s="3">
        <v>1137.19</v>
      </c>
      <c r="G369" s="1">
        <v>5</v>
      </c>
      <c r="H369" s="1" t="s">
        <v>1122</v>
      </c>
      <c r="I369" s="1" t="s">
        <v>772</v>
      </c>
      <c r="J369" s="1" t="s">
        <v>16</v>
      </c>
      <c r="K369" s="1" t="s">
        <v>1096</v>
      </c>
      <c r="L369" s="1" t="s">
        <v>657</v>
      </c>
      <c r="M369">
        <f t="shared" si="35"/>
        <v>400</v>
      </c>
      <c r="N369" t="str">
        <f t="shared" si="36"/>
        <v>1945-02-15</v>
      </c>
      <c r="O369">
        <f t="shared" si="37"/>
        <v>66</v>
      </c>
      <c r="P369" t="str">
        <f t="shared" si="38"/>
        <v>kobieta</v>
      </c>
      <c r="Q369">
        <f t="shared" si="39"/>
        <v>97</v>
      </c>
      <c r="R369">
        <f t="shared" si="40"/>
        <v>48</v>
      </c>
      <c r="S369">
        <f t="shared" ca="1" si="41"/>
        <v>0</v>
      </c>
    </row>
    <row r="370" spans="1:19">
      <c r="A370" s="1" t="s">
        <v>19</v>
      </c>
      <c r="B370" s="2">
        <v>200</v>
      </c>
      <c r="C370" s="1">
        <v>200</v>
      </c>
      <c r="D370" s="1" t="s">
        <v>32</v>
      </c>
      <c r="E370" s="1">
        <v>11</v>
      </c>
      <c r="F370" s="3">
        <v>1172.2</v>
      </c>
      <c r="G370" s="1">
        <v>5</v>
      </c>
      <c r="H370" s="1" t="s">
        <v>1123</v>
      </c>
      <c r="I370" s="1" t="s">
        <v>34</v>
      </c>
      <c r="J370" s="1" t="s">
        <v>16</v>
      </c>
      <c r="K370" s="1" t="s">
        <v>1096</v>
      </c>
      <c r="L370" s="1" t="s">
        <v>939</v>
      </c>
      <c r="M370">
        <f t="shared" si="35"/>
        <v>200</v>
      </c>
      <c r="N370" t="str">
        <f t="shared" si="36"/>
        <v>1955-08-21</v>
      </c>
      <c r="O370">
        <f t="shared" si="37"/>
        <v>56</v>
      </c>
      <c r="P370" t="str">
        <f t="shared" si="38"/>
        <v>kobieta</v>
      </c>
      <c r="Q370">
        <f t="shared" si="39"/>
        <v>38</v>
      </c>
      <c r="R370">
        <f t="shared" si="40"/>
        <v>48</v>
      </c>
      <c r="S370">
        <f t="shared" ca="1" si="41"/>
        <v>0</v>
      </c>
    </row>
    <row r="371" spans="1:19">
      <c r="A371" s="1" t="s">
        <v>19</v>
      </c>
      <c r="B371" s="2">
        <v>500</v>
      </c>
      <c r="C371" s="1">
        <v>500</v>
      </c>
      <c r="D371" s="1" t="s">
        <v>1124</v>
      </c>
      <c r="E371" s="1">
        <v>13</v>
      </c>
      <c r="F371" s="3">
        <v>951</v>
      </c>
      <c r="G371" s="1">
        <v>5</v>
      </c>
      <c r="H371" s="1" t="s">
        <v>1125</v>
      </c>
      <c r="I371" s="1" t="s">
        <v>1126</v>
      </c>
      <c r="J371" s="1" t="s">
        <v>16</v>
      </c>
      <c r="K371" s="1" t="s">
        <v>1096</v>
      </c>
      <c r="L371" s="1" t="s">
        <v>1127</v>
      </c>
      <c r="M371">
        <f t="shared" si="35"/>
        <v>500</v>
      </c>
      <c r="N371" t="str">
        <f t="shared" si="36"/>
        <v>1938-08-23</v>
      </c>
      <c r="O371">
        <f t="shared" si="37"/>
        <v>73</v>
      </c>
      <c r="P371" t="str">
        <f t="shared" si="38"/>
        <v>kobieta</v>
      </c>
      <c r="Q371">
        <f t="shared" si="39"/>
        <v>163</v>
      </c>
      <c r="R371">
        <f t="shared" si="40"/>
        <v>48</v>
      </c>
      <c r="S371">
        <f t="shared" ca="1" si="41"/>
        <v>15</v>
      </c>
    </row>
    <row r="372" spans="1:19">
      <c r="A372" s="1" t="s">
        <v>12</v>
      </c>
      <c r="B372" s="2">
        <v>500</v>
      </c>
      <c r="C372" s="1">
        <v>500</v>
      </c>
      <c r="D372" s="1" t="s">
        <v>1128</v>
      </c>
      <c r="E372" s="1">
        <v>98</v>
      </c>
      <c r="F372" s="3">
        <v>3014</v>
      </c>
      <c r="G372" s="1">
        <v>0</v>
      </c>
      <c r="H372" s="1" t="s">
        <v>1129</v>
      </c>
      <c r="I372" s="1" t="s">
        <v>1130</v>
      </c>
      <c r="J372" s="1" t="s">
        <v>16</v>
      </c>
      <c r="K372" s="1" t="s">
        <v>1096</v>
      </c>
      <c r="L372" s="1" t="s">
        <v>804</v>
      </c>
      <c r="M372">
        <f t="shared" si="35"/>
        <v>500</v>
      </c>
      <c r="N372" t="str">
        <f t="shared" si="36"/>
        <v>1969-09-05</v>
      </c>
      <c r="O372">
        <f t="shared" si="37"/>
        <v>42</v>
      </c>
      <c r="P372" t="str">
        <f t="shared" si="38"/>
        <v>mężczyzna</v>
      </c>
      <c r="Q372">
        <f t="shared" si="39"/>
        <v>103</v>
      </c>
      <c r="R372">
        <f t="shared" si="40"/>
        <v>48</v>
      </c>
      <c r="S372">
        <f t="shared" ca="1" si="41"/>
        <v>6</v>
      </c>
    </row>
    <row r="373" spans="1:19">
      <c r="A373" s="1" t="s">
        <v>12</v>
      </c>
      <c r="B373" s="2">
        <v>2500</v>
      </c>
      <c r="C373" s="1">
        <v>2500</v>
      </c>
      <c r="D373" s="1" t="s">
        <v>1131</v>
      </c>
      <c r="E373" s="1">
        <v>13</v>
      </c>
      <c r="F373" s="3">
        <v>2612</v>
      </c>
      <c r="G373" s="1">
        <v>0</v>
      </c>
      <c r="H373" s="1" t="s">
        <v>1132</v>
      </c>
      <c r="I373" s="1" t="s">
        <v>1133</v>
      </c>
      <c r="J373" s="1" t="s">
        <v>16</v>
      </c>
      <c r="K373" s="1" t="s">
        <v>1096</v>
      </c>
      <c r="L373" s="1" t="s">
        <v>939</v>
      </c>
      <c r="M373">
        <f t="shared" si="35"/>
        <v>2500</v>
      </c>
      <c r="N373" t="str">
        <f t="shared" si="36"/>
        <v>1939-10-23</v>
      </c>
      <c r="O373">
        <f t="shared" si="37"/>
        <v>72</v>
      </c>
      <c r="P373" t="str">
        <f t="shared" si="38"/>
        <v>mężczyzna</v>
      </c>
      <c r="Q373">
        <f t="shared" si="39"/>
        <v>83</v>
      </c>
      <c r="R373">
        <f t="shared" si="40"/>
        <v>48</v>
      </c>
      <c r="S373">
        <f t="shared" ca="1" si="41"/>
        <v>0</v>
      </c>
    </row>
    <row r="374" spans="1:19">
      <c r="A374" s="1" t="s">
        <v>19</v>
      </c>
      <c r="B374" s="2">
        <v>300</v>
      </c>
      <c r="C374" s="1">
        <v>300</v>
      </c>
      <c r="D374" s="1" t="s">
        <v>143</v>
      </c>
      <c r="E374" s="1">
        <v>13</v>
      </c>
      <c r="F374" s="3">
        <v>3900</v>
      </c>
      <c r="G374" s="1">
        <v>6</v>
      </c>
      <c r="H374" s="1" t="s">
        <v>1134</v>
      </c>
      <c r="I374" s="1" t="s">
        <v>145</v>
      </c>
      <c r="J374" s="1" t="s">
        <v>16</v>
      </c>
      <c r="K374" s="1" t="s">
        <v>1096</v>
      </c>
      <c r="L374" s="1" t="s">
        <v>939</v>
      </c>
      <c r="M374">
        <f t="shared" si="35"/>
        <v>300</v>
      </c>
      <c r="N374" t="str">
        <f t="shared" si="36"/>
        <v>1962-11-23</v>
      </c>
      <c r="O374">
        <f t="shared" si="37"/>
        <v>49</v>
      </c>
      <c r="P374" t="str">
        <f t="shared" si="38"/>
        <v>mężczyzna</v>
      </c>
      <c r="Q374">
        <f t="shared" si="39"/>
        <v>31</v>
      </c>
      <c r="R374">
        <f t="shared" si="40"/>
        <v>48</v>
      </c>
      <c r="S374">
        <f t="shared" ca="1" si="41"/>
        <v>0</v>
      </c>
    </row>
    <row r="375" spans="1:19">
      <c r="A375" s="1" t="s">
        <v>19</v>
      </c>
      <c r="B375" s="2">
        <v>450</v>
      </c>
      <c r="C375" s="1">
        <v>450</v>
      </c>
      <c r="D375" s="1" t="s">
        <v>1135</v>
      </c>
      <c r="E375" s="1">
        <v>13</v>
      </c>
      <c r="F375" s="3">
        <v>1800</v>
      </c>
      <c r="G375" s="1">
        <v>0</v>
      </c>
      <c r="H375" s="1" t="s">
        <v>1136</v>
      </c>
      <c r="I375" s="1" t="s">
        <v>1137</v>
      </c>
      <c r="J375" s="1" t="s">
        <v>16</v>
      </c>
      <c r="K375" s="1" t="s">
        <v>1096</v>
      </c>
      <c r="L375" s="1" t="s">
        <v>939</v>
      </c>
      <c r="M375">
        <f t="shared" si="35"/>
        <v>450</v>
      </c>
      <c r="N375" t="str">
        <f t="shared" si="36"/>
        <v>1942-01-19</v>
      </c>
      <c r="O375">
        <f t="shared" si="37"/>
        <v>69</v>
      </c>
      <c r="P375" t="str">
        <f t="shared" si="38"/>
        <v>kobieta</v>
      </c>
      <c r="Q375">
        <f t="shared" si="39"/>
        <v>118</v>
      </c>
      <c r="R375">
        <f t="shared" si="40"/>
        <v>48</v>
      </c>
      <c r="S375">
        <f t="shared" ca="1" si="41"/>
        <v>0</v>
      </c>
    </row>
    <row r="376" spans="1:19">
      <c r="A376" s="1" t="s">
        <v>12</v>
      </c>
      <c r="B376" s="2">
        <v>250</v>
      </c>
      <c r="C376" s="1">
        <v>250</v>
      </c>
      <c r="D376" s="1" t="s">
        <v>44</v>
      </c>
      <c r="E376" s="1">
        <v>17</v>
      </c>
      <c r="F376" s="3">
        <v>864.6</v>
      </c>
      <c r="G376" s="1">
        <v>1</v>
      </c>
      <c r="H376" s="1" t="s">
        <v>1138</v>
      </c>
      <c r="I376" s="1" t="s">
        <v>46</v>
      </c>
      <c r="J376" s="1" t="s">
        <v>47</v>
      </c>
      <c r="K376" s="1" t="s">
        <v>1096</v>
      </c>
      <c r="L376" s="1" t="s">
        <v>657</v>
      </c>
      <c r="M376">
        <f t="shared" si="35"/>
        <v>250</v>
      </c>
      <c r="N376" t="str">
        <f t="shared" si="36"/>
        <v>1957-12-19</v>
      </c>
      <c r="O376">
        <f t="shared" si="37"/>
        <v>54</v>
      </c>
      <c r="P376" t="str">
        <f t="shared" si="38"/>
        <v>kobieta</v>
      </c>
      <c r="Q376">
        <f t="shared" si="39"/>
        <v>3</v>
      </c>
      <c r="R376">
        <f t="shared" si="40"/>
        <v>4</v>
      </c>
      <c r="S376">
        <f t="shared" ca="1" si="41"/>
        <v>0</v>
      </c>
    </row>
    <row r="377" spans="1:19">
      <c r="A377" s="1" t="s">
        <v>19</v>
      </c>
      <c r="B377" s="2">
        <v>300</v>
      </c>
      <c r="C377" s="1">
        <v>300</v>
      </c>
      <c r="D377" s="1" t="s">
        <v>1139</v>
      </c>
      <c r="E377" s="1">
        <v>12</v>
      </c>
      <c r="F377" s="3">
        <v>1200</v>
      </c>
      <c r="G377" s="1">
        <v>5</v>
      </c>
      <c r="H377" s="1" t="s">
        <v>1140</v>
      </c>
      <c r="I377" s="1" t="s">
        <v>1141</v>
      </c>
      <c r="J377" s="1" t="s">
        <v>246</v>
      </c>
      <c r="K377" s="1" t="s">
        <v>1096</v>
      </c>
      <c r="L377" s="1" t="s">
        <v>939</v>
      </c>
      <c r="M377">
        <f t="shared" si="35"/>
        <v>300</v>
      </c>
      <c r="N377" t="str">
        <f t="shared" si="36"/>
        <v>1976-08-12</v>
      </c>
      <c r="O377">
        <f t="shared" si="37"/>
        <v>35</v>
      </c>
      <c r="P377" t="str">
        <f t="shared" si="38"/>
        <v>kobieta</v>
      </c>
      <c r="Q377">
        <f t="shared" si="39"/>
        <v>10</v>
      </c>
      <c r="R377">
        <f t="shared" si="40"/>
        <v>4</v>
      </c>
      <c r="S377">
        <f t="shared" ca="1" si="41"/>
        <v>0</v>
      </c>
    </row>
    <row r="378" spans="1:19">
      <c r="A378" s="1" t="s">
        <v>309</v>
      </c>
      <c r="B378" s="2">
        <v>441.27</v>
      </c>
      <c r="C378" s="1">
        <v>441.27</v>
      </c>
      <c r="D378" s="1" t="s">
        <v>1142</v>
      </c>
      <c r="E378" s="1">
        <v>12</v>
      </c>
      <c r="F378" s="3">
        <v>660</v>
      </c>
      <c r="G378" s="1">
        <v>5</v>
      </c>
      <c r="H378" s="1" t="s">
        <v>1143</v>
      </c>
      <c r="I378" s="1" t="s">
        <v>1144</v>
      </c>
      <c r="J378" s="1" t="s">
        <v>1145</v>
      </c>
      <c r="K378" s="1" t="s">
        <v>1096</v>
      </c>
      <c r="L378" s="1" t="s">
        <v>804</v>
      </c>
      <c r="M378">
        <f t="shared" si="35"/>
        <v>441.27</v>
      </c>
      <c r="N378" t="str">
        <f t="shared" si="36"/>
        <v>1971-10-11</v>
      </c>
      <c r="O378">
        <f t="shared" si="37"/>
        <v>40</v>
      </c>
      <c r="P378" t="str">
        <f t="shared" si="38"/>
        <v>kobieta</v>
      </c>
      <c r="Q378">
        <f t="shared" si="39"/>
        <v>13</v>
      </c>
      <c r="R378">
        <f t="shared" si="40"/>
        <v>25</v>
      </c>
      <c r="S378">
        <f t="shared" ca="1" si="41"/>
        <v>6</v>
      </c>
    </row>
    <row r="379" spans="1:19">
      <c r="A379" s="1" t="s">
        <v>19</v>
      </c>
      <c r="B379" s="2">
        <v>283.31</v>
      </c>
      <c r="C379" s="1">
        <v>283.31</v>
      </c>
      <c r="D379" s="1" t="s">
        <v>60</v>
      </c>
      <c r="E379" s="1">
        <v>12</v>
      </c>
      <c r="F379" s="3">
        <v>1050</v>
      </c>
      <c r="G379" s="1">
        <v>4</v>
      </c>
      <c r="H379" s="1" t="s">
        <v>1146</v>
      </c>
      <c r="I379" s="1" t="s">
        <v>62</v>
      </c>
      <c r="J379" s="1" t="s">
        <v>63</v>
      </c>
      <c r="K379" s="1" t="s">
        <v>1096</v>
      </c>
      <c r="L379" s="1" t="s">
        <v>939</v>
      </c>
      <c r="M379">
        <f t="shared" si="35"/>
        <v>283.31</v>
      </c>
      <c r="N379" t="str">
        <f t="shared" si="36"/>
        <v>1959-09-11</v>
      </c>
      <c r="O379">
        <f t="shared" si="37"/>
        <v>52</v>
      </c>
      <c r="P379" t="str">
        <f t="shared" si="38"/>
        <v>kobieta</v>
      </c>
      <c r="Q379">
        <f t="shared" si="39"/>
        <v>35</v>
      </c>
      <c r="R379">
        <f t="shared" si="40"/>
        <v>1</v>
      </c>
      <c r="S379">
        <f t="shared" ca="1" si="41"/>
        <v>0</v>
      </c>
    </row>
    <row r="380" spans="1:19">
      <c r="A380" s="1" t="s">
        <v>19</v>
      </c>
      <c r="B380" s="2">
        <v>400</v>
      </c>
      <c r="C380" s="1">
        <v>400</v>
      </c>
      <c r="D380" s="1" t="s">
        <v>1147</v>
      </c>
      <c r="E380" s="1">
        <v>11</v>
      </c>
      <c r="F380" s="3">
        <v>1400</v>
      </c>
      <c r="G380" s="1">
        <v>0</v>
      </c>
      <c r="H380" s="1" t="s">
        <v>1148</v>
      </c>
      <c r="I380" s="1" t="s">
        <v>1149</v>
      </c>
      <c r="J380" s="1" t="s">
        <v>16</v>
      </c>
      <c r="K380" s="1" t="s">
        <v>1096</v>
      </c>
      <c r="L380" s="1" t="s">
        <v>1150</v>
      </c>
      <c r="M380">
        <f t="shared" si="35"/>
        <v>400</v>
      </c>
      <c r="N380" t="str">
        <f t="shared" si="36"/>
        <v>1960-05-22</v>
      </c>
      <c r="O380">
        <f t="shared" si="37"/>
        <v>51</v>
      </c>
      <c r="P380" t="str">
        <f t="shared" si="38"/>
        <v>mężczyzna</v>
      </c>
      <c r="Q380">
        <f t="shared" si="39"/>
        <v>40</v>
      </c>
      <c r="R380">
        <f t="shared" si="40"/>
        <v>48</v>
      </c>
      <c r="S380">
        <f t="shared" ca="1" si="41"/>
        <v>9</v>
      </c>
    </row>
    <row r="381" spans="1:19">
      <c r="A381" s="1" t="s">
        <v>19</v>
      </c>
      <c r="B381" s="2">
        <v>250</v>
      </c>
      <c r="C381" s="1">
        <v>250</v>
      </c>
      <c r="D381" s="1" t="s">
        <v>1151</v>
      </c>
      <c r="E381" s="1">
        <v>13</v>
      </c>
      <c r="F381" s="3">
        <v>1559</v>
      </c>
      <c r="G381" s="1">
        <v>0</v>
      </c>
      <c r="H381" s="1" t="s">
        <v>1152</v>
      </c>
      <c r="I381" s="1" t="s">
        <v>230</v>
      </c>
      <c r="J381" s="1" t="s">
        <v>16</v>
      </c>
      <c r="K381" s="1" t="s">
        <v>1096</v>
      </c>
      <c r="L381" s="1" t="s">
        <v>877</v>
      </c>
      <c r="M381">
        <f t="shared" si="35"/>
        <v>250</v>
      </c>
      <c r="N381" t="str">
        <f t="shared" si="36"/>
        <v>1946-01-18</v>
      </c>
      <c r="O381">
        <f t="shared" si="37"/>
        <v>65</v>
      </c>
      <c r="P381" t="str">
        <f t="shared" si="38"/>
        <v>mężczyzna</v>
      </c>
      <c r="Q381">
        <f t="shared" si="39"/>
        <v>72</v>
      </c>
      <c r="R381">
        <f t="shared" si="40"/>
        <v>48</v>
      </c>
      <c r="S381">
        <f t="shared" ca="1" si="41"/>
        <v>0</v>
      </c>
    </row>
    <row r="382" spans="1:19">
      <c r="A382" s="1" t="s">
        <v>19</v>
      </c>
      <c r="B382" s="2">
        <v>300</v>
      </c>
      <c r="C382" s="1">
        <v>300</v>
      </c>
      <c r="D382" s="1" t="s">
        <v>140</v>
      </c>
      <c r="E382" s="1">
        <v>12</v>
      </c>
      <c r="F382" s="3">
        <v>952.89</v>
      </c>
      <c r="G382" s="1">
        <v>1</v>
      </c>
      <c r="H382" s="1" t="s">
        <v>1153</v>
      </c>
      <c r="I382" s="1" t="s">
        <v>142</v>
      </c>
      <c r="J382" s="1" t="s">
        <v>90</v>
      </c>
      <c r="K382" s="1" t="s">
        <v>1096</v>
      </c>
      <c r="L382" s="1" t="s">
        <v>1154</v>
      </c>
      <c r="M382">
        <f t="shared" si="35"/>
        <v>300</v>
      </c>
      <c r="N382" t="str">
        <f t="shared" si="36"/>
        <v>1990-05-21</v>
      </c>
      <c r="O382">
        <f t="shared" si="37"/>
        <v>21</v>
      </c>
      <c r="P382" t="str">
        <f t="shared" si="38"/>
        <v>mężczyzna</v>
      </c>
      <c r="Q382">
        <f t="shared" si="39"/>
        <v>24</v>
      </c>
      <c r="R382">
        <f t="shared" si="40"/>
        <v>2</v>
      </c>
      <c r="S382">
        <f t="shared" ca="1" si="41"/>
        <v>8</v>
      </c>
    </row>
    <row r="383" spans="1:19">
      <c r="A383" s="1" t="s">
        <v>19</v>
      </c>
      <c r="B383" s="2">
        <v>357.31</v>
      </c>
      <c r="C383" s="1">
        <v>357.31</v>
      </c>
      <c r="D383" s="1" t="s">
        <v>1155</v>
      </c>
      <c r="E383" s="1">
        <v>11</v>
      </c>
      <c r="F383" s="3">
        <v>1261.98</v>
      </c>
      <c r="G383" s="1">
        <v>5</v>
      </c>
      <c r="H383" s="1" t="s">
        <v>1156</v>
      </c>
      <c r="I383" s="1" t="s">
        <v>441</v>
      </c>
      <c r="J383" s="1" t="s">
        <v>16</v>
      </c>
      <c r="K383" s="1" t="s">
        <v>1096</v>
      </c>
      <c r="L383" s="1" t="s">
        <v>842</v>
      </c>
      <c r="M383">
        <f t="shared" si="35"/>
        <v>357.31</v>
      </c>
      <c r="N383" t="str">
        <f t="shared" si="36"/>
        <v>1971-08-13</v>
      </c>
      <c r="O383">
        <f t="shared" si="37"/>
        <v>40</v>
      </c>
      <c r="P383" t="str">
        <f t="shared" si="38"/>
        <v>mężczyzna</v>
      </c>
      <c r="Q383">
        <f t="shared" si="39"/>
        <v>37</v>
      </c>
      <c r="R383">
        <f t="shared" si="40"/>
        <v>48</v>
      </c>
      <c r="S383">
        <f t="shared" ca="1" si="41"/>
        <v>1</v>
      </c>
    </row>
    <row r="384" spans="1:19">
      <c r="A384" s="1" t="s">
        <v>19</v>
      </c>
      <c r="B384" s="2">
        <v>500</v>
      </c>
      <c r="C384" s="1">
        <v>500</v>
      </c>
      <c r="D384" s="1" t="s">
        <v>1157</v>
      </c>
      <c r="E384" s="1">
        <v>13</v>
      </c>
      <c r="F384" s="3">
        <v>1200</v>
      </c>
      <c r="G384" s="1">
        <v>5</v>
      </c>
      <c r="H384" s="1" t="s">
        <v>1158</v>
      </c>
      <c r="I384" s="1" t="s">
        <v>1159</v>
      </c>
      <c r="J384" s="1" t="s">
        <v>16</v>
      </c>
      <c r="K384" s="1" t="s">
        <v>1096</v>
      </c>
      <c r="L384" s="1" t="s">
        <v>804</v>
      </c>
      <c r="M384">
        <f t="shared" si="35"/>
        <v>500</v>
      </c>
      <c r="N384" t="str">
        <f t="shared" si="36"/>
        <v>1941-02-15</v>
      </c>
      <c r="O384">
        <f t="shared" si="37"/>
        <v>70</v>
      </c>
      <c r="P384" t="str">
        <f t="shared" si="38"/>
        <v>kobieta</v>
      </c>
      <c r="Q384">
        <f t="shared" si="39"/>
        <v>120</v>
      </c>
      <c r="R384">
        <f t="shared" si="40"/>
        <v>48</v>
      </c>
      <c r="S384">
        <f t="shared" ca="1" si="41"/>
        <v>6</v>
      </c>
    </row>
    <row r="385" spans="1:19">
      <c r="A385" s="1" t="s">
        <v>19</v>
      </c>
      <c r="B385" s="2">
        <v>412.88</v>
      </c>
      <c r="C385" s="1">
        <v>412.88</v>
      </c>
      <c r="D385" s="1" t="s">
        <v>1160</v>
      </c>
      <c r="E385" s="1">
        <v>11</v>
      </c>
      <c r="F385" s="3">
        <v>2927</v>
      </c>
      <c r="G385" s="1">
        <v>4</v>
      </c>
      <c r="H385" s="1" t="s">
        <v>1161</v>
      </c>
      <c r="I385" s="1" t="s">
        <v>157</v>
      </c>
      <c r="J385" s="1" t="s">
        <v>16</v>
      </c>
      <c r="K385" s="1" t="s">
        <v>1096</v>
      </c>
      <c r="L385" s="1" t="s">
        <v>1111</v>
      </c>
      <c r="M385">
        <f t="shared" si="35"/>
        <v>412.88</v>
      </c>
      <c r="N385" t="str">
        <f t="shared" si="36"/>
        <v>1973-07-09</v>
      </c>
      <c r="O385">
        <f t="shared" si="37"/>
        <v>38</v>
      </c>
      <c r="P385" t="str">
        <f t="shared" si="38"/>
        <v>kobieta</v>
      </c>
      <c r="Q385">
        <f t="shared" si="39"/>
        <v>202</v>
      </c>
      <c r="R385">
        <f t="shared" si="40"/>
        <v>48</v>
      </c>
      <c r="S385">
        <f t="shared" ca="1" si="41"/>
        <v>5</v>
      </c>
    </row>
    <row r="386" spans="1:19">
      <c r="A386" s="1" t="s">
        <v>19</v>
      </c>
      <c r="B386" s="2">
        <v>242.28</v>
      </c>
      <c r="C386" s="1">
        <v>242.28</v>
      </c>
      <c r="D386" s="1" t="s">
        <v>146</v>
      </c>
      <c r="E386" s="1">
        <v>13</v>
      </c>
      <c r="F386" s="3">
        <v>1350</v>
      </c>
      <c r="G386" s="1">
        <v>4</v>
      </c>
      <c r="H386" s="1" t="s">
        <v>1162</v>
      </c>
      <c r="I386" s="1" t="s">
        <v>148</v>
      </c>
      <c r="J386" s="1" t="s">
        <v>16</v>
      </c>
      <c r="K386" s="1" t="s">
        <v>1096</v>
      </c>
      <c r="L386" s="1" t="s">
        <v>842</v>
      </c>
      <c r="M386">
        <f t="shared" si="35"/>
        <v>242.28</v>
      </c>
      <c r="N386" t="str">
        <f t="shared" si="36"/>
        <v>1946-02-12</v>
      </c>
      <c r="O386">
        <f t="shared" si="37"/>
        <v>65</v>
      </c>
      <c r="P386" t="str">
        <f t="shared" si="38"/>
        <v>kobieta</v>
      </c>
      <c r="Q386">
        <f t="shared" si="39"/>
        <v>112</v>
      </c>
      <c r="R386">
        <f t="shared" si="40"/>
        <v>48</v>
      </c>
      <c r="S386">
        <f t="shared" ca="1" si="41"/>
        <v>1</v>
      </c>
    </row>
    <row r="387" spans="1:19">
      <c r="A387" s="1" t="s">
        <v>19</v>
      </c>
      <c r="B387" s="2">
        <v>300</v>
      </c>
      <c r="C387" s="1">
        <v>300</v>
      </c>
      <c r="D387" s="1" t="s">
        <v>111</v>
      </c>
      <c r="E387" s="1">
        <v>13</v>
      </c>
      <c r="F387" s="3">
        <v>611</v>
      </c>
      <c r="G387" s="1">
        <v>4</v>
      </c>
      <c r="H387" s="1" t="s">
        <v>1163</v>
      </c>
      <c r="I387" s="1" t="s">
        <v>113</v>
      </c>
      <c r="J387" s="1" t="s">
        <v>16</v>
      </c>
      <c r="K387" s="1" t="s">
        <v>353</v>
      </c>
      <c r="L387" s="1" t="s">
        <v>995</v>
      </c>
      <c r="M387">
        <f t="shared" ref="M387:M450" si="42">IF(A387="odmowa", B387,C387)</f>
        <v>300</v>
      </c>
      <c r="N387" t="str">
        <f t="shared" ref="N387:N450" si="43">CONCATENATE("19", MID(D387, 1, 2), "-", MID(D387, 3, 2), "-", MID(D387, 5, 2))</f>
        <v>1954-06-09</v>
      </c>
      <c r="O387">
        <f t="shared" ref="O387:O450" si="44">YEAR(H387) - YEAR(N387)</f>
        <v>57</v>
      </c>
      <c r="P387" t="str">
        <f t="shared" ref="P387:P450" si="45">IF(MOD(MID(D387, 10, 1), 2)=0, "kobieta", "mężczyzna")</f>
        <v>kobieta</v>
      </c>
      <c r="Q387">
        <f t="shared" ref="Q387:Q450" si="46">(YEAR(H387) - YEAR(I387)) * 12 + MONTH(H387) - MONTH(I387)</f>
        <v>140</v>
      </c>
      <c r="R387">
        <f t="shared" ref="R387:R450" si="47">IF(LEFT(J387, 4)="0000", 48, MIN(48, (YEAR(J387) - YEAR(H387)) * 12 + MONTH(J387) - MONTH(H387)))</f>
        <v>48</v>
      </c>
      <c r="S387">
        <f t="shared" ref="S387:S450" ca="1" si="48">IF(LEFT(K387, 4)="0000", 0, IF(LEFT(L387, 4)="0000", MAX(0, TODAY() - K387), MAX(0, L387 - K387)))</f>
        <v>1</v>
      </c>
    </row>
    <row r="388" spans="1:19">
      <c r="A388" s="1" t="s">
        <v>24</v>
      </c>
      <c r="B388" s="2">
        <v>500</v>
      </c>
      <c r="C388" s="1">
        <v>0</v>
      </c>
      <c r="D388" s="1" t="s">
        <v>1164</v>
      </c>
      <c r="E388" s="1">
        <v>13</v>
      </c>
      <c r="F388" s="3">
        <v>900</v>
      </c>
      <c r="G388" s="1">
        <v>0</v>
      </c>
      <c r="H388" s="1" t="s">
        <v>1165</v>
      </c>
      <c r="I388" s="1" t="s">
        <v>1166</v>
      </c>
      <c r="J388" s="1" t="s">
        <v>16</v>
      </c>
      <c r="K388" s="1" t="s">
        <v>16</v>
      </c>
      <c r="L388" s="1" t="s">
        <v>28</v>
      </c>
      <c r="M388">
        <f t="shared" si="42"/>
        <v>500</v>
      </c>
      <c r="N388" t="str">
        <f t="shared" si="43"/>
        <v>1947-03-06</v>
      </c>
      <c r="O388">
        <f t="shared" si="44"/>
        <v>64</v>
      </c>
      <c r="P388" t="str">
        <f t="shared" si="45"/>
        <v>kobieta</v>
      </c>
      <c r="Q388">
        <f t="shared" si="46"/>
        <v>135</v>
      </c>
      <c r="R388">
        <f t="shared" si="47"/>
        <v>48</v>
      </c>
      <c r="S388">
        <f t="shared" ca="1" si="48"/>
        <v>0</v>
      </c>
    </row>
    <row r="389" spans="1:19">
      <c r="A389" s="1" t="s">
        <v>19</v>
      </c>
      <c r="B389" s="2">
        <v>200</v>
      </c>
      <c r="C389" s="1">
        <v>200</v>
      </c>
      <c r="D389" s="1" t="s">
        <v>78</v>
      </c>
      <c r="E389" s="1">
        <v>13</v>
      </c>
      <c r="F389" s="3">
        <v>730</v>
      </c>
      <c r="G389" s="1">
        <v>4</v>
      </c>
      <c r="H389" s="1" t="s">
        <v>1167</v>
      </c>
      <c r="I389" s="1" t="s">
        <v>80</v>
      </c>
      <c r="J389" s="1" t="s">
        <v>16</v>
      </c>
      <c r="K389" s="1" t="s">
        <v>353</v>
      </c>
      <c r="L389" s="1" t="s">
        <v>877</v>
      </c>
      <c r="M389">
        <f t="shared" si="42"/>
        <v>200</v>
      </c>
      <c r="N389" t="str">
        <f t="shared" si="43"/>
        <v>1939-08-25</v>
      </c>
      <c r="O389">
        <f t="shared" si="44"/>
        <v>72</v>
      </c>
      <c r="P389" t="str">
        <f t="shared" si="45"/>
        <v>kobieta</v>
      </c>
      <c r="Q389">
        <f t="shared" si="46"/>
        <v>562</v>
      </c>
      <c r="R389">
        <f t="shared" si="47"/>
        <v>48</v>
      </c>
      <c r="S389">
        <f t="shared" ca="1" si="48"/>
        <v>0</v>
      </c>
    </row>
    <row r="390" spans="1:19">
      <c r="A390" s="1" t="s">
        <v>12</v>
      </c>
      <c r="B390" s="2">
        <v>200</v>
      </c>
      <c r="C390" s="1">
        <v>200</v>
      </c>
      <c r="D390" s="1" t="s">
        <v>190</v>
      </c>
      <c r="E390" s="1">
        <v>13</v>
      </c>
      <c r="F390" s="3">
        <v>1026</v>
      </c>
      <c r="G390" s="1">
        <v>6</v>
      </c>
      <c r="H390" s="1" t="s">
        <v>1168</v>
      </c>
      <c r="I390" s="1" t="s">
        <v>192</v>
      </c>
      <c r="J390" s="1" t="s">
        <v>16</v>
      </c>
      <c r="K390" s="1" t="s">
        <v>353</v>
      </c>
      <c r="L390" s="1" t="s">
        <v>670</v>
      </c>
      <c r="M390">
        <f t="shared" si="42"/>
        <v>200</v>
      </c>
      <c r="N390" t="str">
        <f t="shared" si="43"/>
        <v>1937-05-27</v>
      </c>
      <c r="O390">
        <f t="shared" si="44"/>
        <v>74</v>
      </c>
      <c r="P390" t="str">
        <f t="shared" si="45"/>
        <v>kobieta</v>
      </c>
      <c r="Q390">
        <f t="shared" si="46"/>
        <v>248</v>
      </c>
      <c r="R390">
        <f t="shared" si="47"/>
        <v>48</v>
      </c>
      <c r="S390">
        <f t="shared" ca="1" si="48"/>
        <v>0</v>
      </c>
    </row>
    <row r="391" spans="1:19">
      <c r="A391" s="1" t="s">
        <v>24</v>
      </c>
      <c r="B391" s="2">
        <v>200</v>
      </c>
      <c r="C391" s="1">
        <v>0</v>
      </c>
      <c r="D391" s="1" t="s">
        <v>1169</v>
      </c>
      <c r="E391" s="1">
        <v>13</v>
      </c>
      <c r="F391" s="3">
        <v>968</v>
      </c>
      <c r="G391" s="1">
        <v>0</v>
      </c>
      <c r="H391" s="1" t="s">
        <v>1170</v>
      </c>
      <c r="I391" s="1" t="s">
        <v>474</v>
      </c>
      <c r="J391" s="1" t="s">
        <v>16</v>
      </c>
      <c r="K391" s="1" t="s">
        <v>16</v>
      </c>
      <c r="L391" s="1" t="s">
        <v>28</v>
      </c>
      <c r="M391">
        <f t="shared" si="42"/>
        <v>200</v>
      </c>
      <c r="N391" t="str">
        <f t="shared" si="43"/>
        <v>1958-05-11</v>
      </c>
      <c r="O391">
        <f t="shared" si="44"/>
        <v>53</v>
      </c>
      <c r="P391" t="str">
        <f t="shared" si="45"/>
        <v>kobieta</v>
      </c>
      <c r="Q391">
        <f t="shared" si="46"/>
        <v>82</v>
      </c>
      <c r="R391">
        <f t="shared" si="47"/>
        <v>48</v>
      </c>
      <c r="S391">
        <f t="shared" ca="1" si="48"/>
        <v>0</v>
      </c>
    </row>
    <row r="392" spans="1:19">
      <c r="A392" s="1" t="s">
        <v>19</v>
      </c>
      <c r="B392" s="2">
        <v>400</v>
      </c>
      <c r="C392" s="1">
        <v>400</v>
      </c>
      <c r="D392" s="1" t="s">
        <v>101</v>
      </c>
      <c r="E392" s="1">
        <v>11</v>
      </c>
      <c r="F392" s="3">
        <v>4000</v>
      </c>
      <c r="G392" s="1">
        <v>6</v>
      </c>
      <c r="H392" s="1" t="s">
        <v>1171</v>
      </c>
      <c r="I392" s="1" t="s">
        <v>103</v>
      </c>
      <c r="J392" s="1" t="s">
        <v>16</v>
      </c>
      <c r="K392" s="1" t="s">
        <v>353</v>
      </c>
      <c r="L392" s="1" t="s">
        <v>939</v>
      </c>
      <c r="M392">
        <f t="shared" si="42"/>
        <v>400</v>
      </c>
      <c r="N392" t="str">
        <f t="shared" si="43"/>
        <v>1958-01-12</v>
      </c>
      <c r="O392">
        <f t="shared" si="44"/>
        <v>53</v>
      </c>
      <c r="P392" t="str">
        <f t="shared" si="45"/>
        <v>mężczyzna</v>
      </c>
      <c r="Q392">
        <f t="shared" si="46"/>
        <v>11</v>
      </c>
      <c r="R392">
        <f t="shared" si="47"/>
        <v>48</v>
      </c>
      <c r="S392">
        <f t="shared" ca="1" si="48"/>
        <v>0</v>
      </c>
    </row>
    <row r="393" spans="1:19">
      <c r="A393" s="1" t="s">
        <v>12</v>
      </c>
      <c r="B393" s="2">
        <v>300</v>
      </c>
      <c r="C393" s="1">
        <v>300</v>
      </c>
      <c r="D393" s="1" t="s">
        <v>48</v>
      </c>
      <c r="E393" s="1">
        <v>13</v>
      </c>
      <c r="F393" s="3">
        <v>1130</v>
      </c>
      <c r="G393" s="1">
        <v>5</v>
      </c>
      <c r="H393" s="1" t="s">
        <v>1172</v>
      </c>
      <c r="I393" s="1" t="s">
        <v>50</v>
      </c>
      <c r="J393" s="1" t="s">
        <v>16</v>
      </c>
      <c r="K393" s="1" t="s">
        <v>353</v>
      </c>
      <c r="L393" s="1" t="s">
        <v>939</v>
      </c>
      <c r="M393">
        <f t="shared" si="42"/>
        <v>300</v>
      </c>
      <c r="N393" t="str">
        <f t="shared" si="43"/>
        <v>1949-05-20</v>
      </c>
      <c r="O393">
        <f t="shared" si="44"/>
        <v>62</v>
      </c>
      <c r="P393" t="str">
        <f t="shared" si="45"/>
        <v>kobieta</v>
      </c>
      <c r="Q393">
        <f t="shared" si="46"/>
        <v>104</v>
      </c>
      <c r="R393">
        <f t="shared" si="47"/>
        <v>48</v>
      </c>
      <c r="S393">
        <f t="shared" ca="1" si="48"/>
        <v>0</v>
      </c>
    </row>
    <row r="394" spans="1:19">
      <c r="A394" s="1" t="s">
        <v>12</v>
      </c>
      <c r="B394" s="2">
        <v>400</v>
      </c>
      <c r="C394" s="1">
        <v>400</v>
      </c>
      <c r="D394" s="1" t="s">
        <v>94</v>
      </c>
      <c r="E394" s="1">
        <v>16</v>
      </c>
      <c r="F394" s="3">
        <v>1589</v>
      </c>
      <c r="G394" s="1">
        <v>1</v>
      </c>
      <c r="H394" s="1" t="s">
        <v>1173</v>
      </c>
      <c r="I394" s="1" t="s">
        <v>96</v>
      </c>
      <c r="J394" s="1" t="s">
        <v>16</v>
      </c>
      <c r="K394" s="1" t="s">
        <v>353</v>
      </c>
      <c r="L394" s="1" t="s">
        <v>18</v>
      </c>
      <c r="M394">
        <f t="shared" si="42"/>
        <v>400</v>
      </c>
      <c r="N394" t="str">
        <f t="shared" si="43"/>
        <v>1953-10-11</v>
      </c>
      <c r="O394">
        <f t="shared" si="44"/>
        <v>58</v>
      </c>
      <c r="P394" t="str">
        <f t="shared" si="45"/>
        <v>kobieta</v>
      </c>
      <c r="Q394">
        <f t="shared" si="46"/>
        <v>28</v>
      </c>
      <c r="R394">
        <f t="shared" si="47"/>
        <v>48</v>
      </c>
      <c r="S394">
        <f t="shared" ca="1" si="48"/>
        <v>15</v>
      </c>
    </row>
    <row r="395" spans="1:19">
      <c r="A395" s="1" t="s">
        <v>19</v>
      </c>
      <c r="B395" s="2">
        <v>600</v>
      </c>
      <c r="C395" s="1">
        <v>600</v>
      </c>
      <c r="D395" s="1" t="s">
        <v>1174</v>
      </c>
      <c r="E395" s="1">
        <v>11</v>
      </c>
      <c r="F395" s="3">
        <v>1300</v>
      </c>
      <c r="G395" s="1">
        <v>0</v>
      </c>
      <c r="H395" s="1" t="s">
        <v>1175</v>
      </c>
      <c r="I395" s="1" t="s">
        <v>1176</v>
      </c>
      <c r="J395" s="1" t="s">
        <v>16</v>
      </c>
      <c r="K395" s="1" t="s">
        <v>353</v>
      </c>
      <c r="L395" s="1" t="s">
        <v>1055</v>
      </c>
      <c r="M395">
        <f t="shared" si="42"/>
        <v>600</v>
      </c>
      <c r="N395" t="str">
        <f t="shared" si="43"/>
        <v>1957-05-11</v>
      </c>
      <c r="O395">
        <f t="shared" si="44"/>
        <v>54</v>
      </c>
      <c r="P395" t="str">
        <f t="shared" si="45"/>
        <v>kobieta</v>
      </c>
      <c r="Q395">
        <f t="shared" si="46"/>
        <v>69</v>
      </c>
      <c r="R395">
        <f t="shared" si="47"/>
        <v>48</v>
      </c>
      <c r="S395">
        <f t="shared" ca="1" si="48"/>
        <v>6</v>
      </c>
    </row>
    <row r="396" spans="1:19">
      <c r="A396" s="1" t="s">
        <v>24</v>
      </c>
      <c r="B396" s="2">
        <v>200</v>
      </c>
      <c r="C396" s="1">
        <v>0</v>
      </c>
      <c r="D396" s="1" t="s">
        <v>1177</v>
      </c>
      <c r="E396" s="1">
        <v>12</v>
      </c>
      <c r="F396" s="3">
        <v>1386</v>
      </c>
      <c r="G396" s="1">
        <v>0</v>
      </c>
      <c r="H396" s="1" t="s">
        <v>1178</v>
      </c>
      <c r="I396" s="1" t="s">
        <v>1179</v>
      </c>
      <c r="J396" s="1" t="s">
        <v>1180</v>
      </c>
      <c r="K396" s="1" t="s">
        <v>16</v>
      </c>
      <c r="L396" s="1" t="s">
        <v>28</v>
      </c>
      <c r="M396">
        <f t="shared" si="42"/>
        <v>200</v>
      </c>
      <c r="N396" t="str">
        <f t="shared" si="43"/>
        <v>1978-03-09</v>
      </c>
      <c r="O396">
        <f t="shared" si="44"/>
        <v>33</v>
      </c>
      <c r="P396" t="str">
        <f t="shared" si="45"/>
        <v>mężczyzna</v>
      </c>
      <c r="Q396">
        <f t="shared" si="46"/>
        <v>39</v>
      </c>
      <c r="R396">
        <f t="shared" si="47"/>
        <v>2</v>
      </c>
      <c r="S396">
        <f t="shared" ca="1" si="48"/>
        <v>0</v>
      </c>
    </row>
    <row r="397" spans="1:19">
      <c r="A397" s="1" t="s">
        <v>19</v>
      </c>
      <c r="B397" s="2">
        <v>900</v>
      </c>
      <c r="C397" s="1">
        <v>600</v>
      </c>
      <c r="D397" s="1" t="s">
        <v>516</v>
      </c>
      <c r="E397" s="1">
        <v>11</v>
      </c>
      <c r="F397" s="3">
        <v>1443</v>
      </c>
      <c r="G397" s="1">
        <v>0</v>
      </c>
      <c r="H397" s="1" t="s">
        <v>1181</v>
      </c>
      <c r="I397" s="1" t="s">
        <v>62</v>
      </c>
      <c r="J397" s="1" t="s">
        <v>16</v>
      </c>
      <c r="K397" s="1" t="s">
        <v>353</v>
      </c>
      <c r="L397" s="1" t="s">
        <v>995</v>
      </c>
      <c r="M397">
        <f t="shared" si="42"/>
        <v>600</v>
      </c>
      <c r="N397" t="str">
        <f t="shared" si="43"/>
        <v>1968-06-20</v>
      </c>
      <c r="O397">
        <f t="shared" si="44"/>
        <v>43</v>
      </c>
      <c r="P397" t="str">
        <f t="shared" si="45"/>
        <v>kobieta</v>
      </c>
      <c r="Q397">
        <f t="shared" si="46"/>
        <v>35</v>
      </c>
      <c r="R397">
        <f t="shared" si="47"/>
        <v>48</v>
      </c>
      <c r="S397">
        <f t="shared" ca="1" si="48"/>
        <v>1</v>
      </c>
    </row>
    <row r="398" spans="1:19">
      <c r="A398" s="1" t="s">
        <v>19</v>
      </c>
      <c r="B398" s="2">
        <v>1654.61</v>
      </c>
      <c r="C398" s="1">
        <v>1654.61</v>
      </c>
      <c r="D398" s="1" t="s">
        <v>1182</v>
      </c>
      <c r="E398" s="1">
        <v>11</v>
      </c>
      <c r="F398" s="3">
        <v>2353</v>
      </c>
      <c r="G398" s="1">
        <v>0</v>
      </c>
      <c r="H398" s="1" t="s">
        <v>1183</v>
      </c>
      <c r="I398" s="1" t="s">
        <v>405</v>
      </c>
      <c r="J398" s="1" t="s">
        <v>16</v>
      </c>
      <c r="K398" s="1" t="s">
        <v>353</v>
      </c>
      <c r="L398" s="1" t="s">
        <v>18</v>
      </c>
      <c r="M398">
        <f t="shared" si="42"/>
        <v>1654.61</v>
      </c>
      <c r="N398" t="str">
        <f t="shared" si="43"/>
        <v>1963-08-21</v>
      </c>
      <c r="O398">
        <f t="shared" si="44"/>
        <v>48</v>
      </c>
      <c r="P398" t="str">
        <f t="shared" si="45"/>
        <v>mężczyzna</v>
      </c>
      <c r="Q398">
        <f t="shared" si="46"/>
        <v>100</v>
      </c>
      <c r="R398">
        <f t="shared" si="47"/>
        <v>48</v>
      </c>
      <c r="S398">
        <f t="shared" ca="1" si="48"/>
        <v>15</v>
      </c>
    </row>
    <row r="399" spans="1:19">
      <c r="A399" s="1" t="s">
        <v>19</v>
      </c>
      <c r="B399" s="2">
        <v>400</v>
      </c>
      <c r="C399" s="1">
        <v>400</v>
      </c>
      <c r="D399" s="1" t="s">
        <v>176</v>
      </c>
      <c r="E399" s="1">
        <v>11</v>
      </c>
      <c r="F399" s="3">
        <v>1842.86</v>
      </c>
      <c r="G399" s="1">
        <v>4</v>
      </c>
      <c r="H399" s="1" t="s">
        <v>1184</v>
      </c>
      <c r="I399" s="1" t="s">
        <v>178</v>
      </c>
      <c r="J399" s="1" t="s">
        <v>16</v>
      </c>
      <c r="K399" s="1" t="s">
        <v>353</v>
      </c>
      <c r="L399" s="1" t="s">
        <v>842</v>
      </c>
      <c r="M399">
        <f t="shared" si="42"/>
        <v>400</v>
      </c>
      <c r="N399" t="str">
        <f t="shared" si="43"/>
        <v>1955-04-12</v>
      </c>
      <c r="O399">
        <f t="shared" si="44"/>
        <v>56</v>
      </c>
      <c r="P399" t="str">
        <f t="shared" si="45"/>
        <v>mężczyzna</v>
      </c>
      <c r="Q399">
        <f t="shared" si="46"/>
        <v>9</v>
      </c>
      <c r="R399">
        <f t="shared" si="47"/>
        <v>48</v>
      </c>
      <c r="S399">
        <f t="shared" ca="1" si="48"/>
        <v>0</v>
      </c>
    </row>
    <row r="400" spans="1:19">
      <c r="A400" s="1" t="s">
        <v>12</v>
      </c>
      <c r="B400" s="2">
        <v>700</v>
      </c>
      <c r="C400" s="1">
        <v>500</v>
      </c>
      <c r="D400" s="1" t="s">
        <v>358</v>
      </c>
      <c r="E400" s="1">
        <v>98</v>
      </c>
      <c r="F400" s="3">
        <v>1357</v>
      </c>
      <c r="G400" s="1">
        <v>0</v>
      </c>
      <c r="H400" s="1" t="s">
        <v>1185</v>
      </c>
      <c r="I400" s="1" t="s">
        <v>360</v>
      </c>
      <c r="J400" s="1" t="s">
        <v>16</v>
      </c>
      <c r="K400" s="1" t="s">
        <v>353</v>
      </c>
      <c r="L400" s="1" t="s">
        <v>842</v>
      </c>
      <c r="M400">
        <f t="shared" si="42"/>
        <v>500</v>
      </c>
      <c r="N400" t="str">
        <f t="shared" si="43"/>
        <v>1963-10-11</v>
      </c>
      <c r="O400">
        <f t="shared" si="44"/>
        <v>48</v>
      </c>
      <c r="P400" t="str">
        <f t="shared" si="45"/>
        <v>kobieta</v>
      </c>
      <c r="Q400">
        <f t="shared" si="46"/>
        <v>2</v>
      </c>
      <c r="R400">
        <f t="shared" si="47"/>
        <v>48</v>
      </c>
      <c r="S400">
        <f t="shared" ca="1" si="48"/>
        <v>0</v>
      </c>
    </row>
    <row r="401" spans="1:19">
      <c r="A401" s="1" t="s">
        <v>12</v>
      </c>
      <c r="B401" s="2">
        <v>200</v>
      </c>
      <c r="C401" s="1">
        <v>200</v>
      </c>
      <c r="D401" s="1" t="s">
        <v>186</v>
      </c>
      <c r="E401" s="1">
        <v>12</v>
      </c>
      <c r="F401" s="3">
        <v>1000</v>
      </c>
      <c r="G401" s="1">
        <v>6</v>
      </c>
      <c r="H401" s="1" t="s">
        <v>1186</v>
      </c>
      <c r="I401" s="1" t="s">
        <v>188</v>
      </c>
      <c r="J401" s="1" t="s">
        <v>189</v>
      </c>
      <c r="K401" s="1" t="s">
        <v>353</v>
      </c>
      <c r="L401" s="1" t="s">
        <v>657</v>
      </c>
      <c r="M401">
        <f t="shared" si="42"/>
        <v>200</v>
      </c>
      <c r="N401" t="str">
        <f t="shared" si="43"/>
        <v>1987-02-13</v>
      </c>
      <c r="O401">
        <f t="shared" si="44"/>
        <v>24</v>
      </c>
      <c r="P401" t="str">
        <f t="shared" si="45"/>
        <v>mężczyzna</v>
      </c>
      <c r="Q401">
        <f t="shared" si="46"/>
        <v>13</v>
      </c>
      <c r="R401">
        <f t="shared" si="47"/>
        <v>12</v>
      </c>
      <c r="S401">
        <f t="shared" ca="1" si="48"/>
        <v>0</v>
      </c>
    </row>
    <row r="402" spans="1:19">
      <c r="A402" s="1" t="s">
        <v>12</v>
      </c>
      <c r="B402" s="2">
        <v>800</v>
      </c>
      <c r="C402" s="1">
        <v>600</v>
      </c>
      <c r="D402" s="1" t="s">
        <v>1187</v>
      </c>
      <c r="E402" s="1">
        <v>11</v>
      </c>
      <c r="F402" s="3">
        <v>2000</v>
      </c>
      <c r="G402" s="1">
        <v>0</v>
      </c>
      <c r="H402" s="1" t="s">
        <v>1188</v>
      </c>
      <c r="I402" s="1" t="s">
        <v>825</v>
      </c>
      <c r="J402" s="1" t="s">
        <v>16</v>
      </c>
      <c r="K402" s="1" t="s">
        <v>1189</v>
      </c>
      <c r="L402" s="1" t="s">
        <v>657</v>
      </c>
      <c r="M402">
        <f t="shared" si="42"/>
        <v>600</v>
      </c>
      <c r="N402" t="str">
        <f t="shared" si="43"/>
        <v>1965-01-05</v>
      </c>
      <c r="O402">
        <f t="shared" si="44"/>
        <v>46</v>
      </c>
      <c r="P402" t="str">
        <f t="shared" si="45"/>
        <v>mężczyzna</v>
      </c>
      <c r="Q402">
        <f t="shared" si="46"/>
        <v>52</v>
      </c>
      <c r="R402">
        <f t="shared" si="47"/>
        <v>48</v>
      </c>
      <c r="S402">
        <f t="shared" ca="1" si="48"/>
        <v>0</v>
      </c>
    </row>
    <row r="403" spans="1:19">
      <c r="A403" s="1" t="s">
        <v>19</v>
      </c>
      <c r="B403" s="2">
        <v>400</v>
      </c>
      <c r="C403" s="1">
        <v>400</v>
      </c>
      <c r="D403" s="1" t="s">
        <v>222</v>
      </c>
      <c r="E403" s="1">
        <v>13</v>
      </c>
      <c r="F403" s="3">
        <v>1090.1400000000001</v>
      </c>
      <c r="G403" s="1">
        <v>5</v>
      </c>
      <c r="H403" s="1" t="s">
        <v>1190</v>
      </c>
      <c r="I403" s="1" t="s">
        <v>224</v>
      </c>
      <c r="J403" s="1" t="s">
        <v>16</v>
      </c>
      <c r="K403" s="1" t="s">
        <v>1189</v>
      </c>
      <c r="L403" s="1" t="s">
        <v>804</v>
      </c>
      <c r="M403">
        <f t="shared" si="42"/>
        <v>400</v>
      </c>
      <c r="N403" t="str">
        <f t="shared" si="43"/>
        <v>1950-06-12</v>
      </c>
      <c r="O403">
        <f t="shared" si="44"/>
        <v>61</v>
      </c>
      <c r="P403" t="str">
        <f t="shared" si="45"/>
        <v>kobieta</v>
      </c>
      <c r="Q403">
        <f t="shared" si="46"/>
        <v>76</v>
      </c>
      <c r="R403">
        <f t="shared" si="47"/>
        <v>48</v>
      </c>
      <c r="S403">
        <f t="shared" ca="1" si="48"/>
        <v>4</v>
      </c>
    </row>
    <row r="404" spans="1:19">
      <c r="A404" s="1" t="s">
        <v>56</v>
      </c>
      <c r="B404" s="2">
        <v>1000</v>
      </c>
      <c r="C404" s="1">
        <v>500</v>
      </c>
      <c r="D404" s="1" t="s">
        <v>1191</v>
      </c>
      <c r="E404" s="1">
        <v>12</v>
      </c>
      <c r="F404" s="3">
        <v>5000</v>
      </c>
      <c r="G404" s="1">
        <v>0</v>
      </c>
      <c r="H404" s="1" t="s">
        <v>1192</v>
      </c>
      <c r="I404" s="1" t="s">
        <v>1193</v>
      </c>
      <c r="J404" s="1" t="s">
        <v>1194</v>
      </c>
      <c r="K404" s="1" t="s">
        <v>1189</v>
      </c>
      <c r="L404" s="1" t="s">
        <v>28</v>
      </c>
      <c r="M404">
        <f t="shared" si="42"/>
        <v>500</v>
      </c>
      <c r="N404" t="str">
        <f t="shared" si="43"/>
        <v>1978-03-02</v>
      </c>
      <c r="O404">
        <f t="shared" si="44"/>
        <v>33</v>
      </c>
      <c r="P404" t="str">
        <f t="shared" si="45"/>
        <v>mężczyzna</v>
      </c>
      <c r="Q404">
        <f t="shared" si="46"/>
        <v>6</v>
      </c>
      <c r="R404">
        <f t="shared" si="47"/>
        <v>21</v>
      </c>
      <c r="S404">
        <f t="shared" ca="1" si="48"/>
        <v>5240</v>
      </c>
    </row>
    <row r="405" spans="1:19">
      <c r="A405" s="1" t="s">
        <v>19</v>
      </c>
      <c r="B405" s="2">
        <v>300</v>
      </c>
      <c r="C405" s="1">
        <v>300</v>
      </c>
      <c r="D405" s="1" t="s">
        <v>164</v>
      </c>
      <c r="E405" s="1">
        <v>11</v>
      </c>
      <c r="F405" s="3">
        <v>1680</v>
      </c>
      <c r="G405" s="1">
        <v>5</v>
      </c>
      <c r="H405" s="1" t="s">
        <v>1195</v>
      </c>
      <c r="I405" s="1" t="s">
        <v>166</v>
      </c>
      <c r="J405" s="1" t="s">
        <v>16</v>
      </c>
      <c r="K405" s="1" t="s">
        <v>1189</v>
      </c>
      <c r="L405" s="1" t="s">
        <v>1154</v>
      </c>
      <c r="M405">
        <f t="shared" si="42"/>
        <v>300</v>
      </c>
      <c r="N405" t="str">
        <f t="shared" si="43"/>
        <v>1954-03-14</v>
      </c>
      <c r="O405">
        <f t="shared" si="44"/>
        <v>57</v>
      </c>
      <c r="P405" t="str">
        <f t="shared" si="45"/>
        <v>kobieta</v>
      </c>
      <c r="Q405">
        <f t="shared" si="46"/>
        <v>386</v>
      </c>
      <c r="R405">
        <f t="shared" si="47"/>
        <v>48</v>
      </c>
      <c r="S405">
        <f t="shared" ca="1" si="48"/>
        <v>6</v>
      </c>
    </row>
    <row r="406" spans="1:19">
      <c r="A406" s="1" t="s">
        <v>56</v>
      </c>
      <c r="B406" s="2">
        <v>300</v>
      </c>
      <c r="C406" s="1">
        <v>300</v>
      </c>
      <c r="D406" s="1" t="s">
        <v>91</v>
      </c>
      <c r="E406" s="1">
        <v>11</v>
      </c>
      <c r="F406" s="3">
        <v>1700</v>
      </c>
      <c r="G406" s="1">
        <v>5</v>
      </c>
      <c r="H406" s="1" t="s">
        <v>1196</v>
      </c>
      <c r="I406" s="1" t="s">
        <v>93</v>
      </c>
      <c r="J406" s="1" t="s">
        <v>16</v>
      </c>
      <c r="K406" s="1" t="s">
        <v>1189</v>
      </c>
      <c r="L406" s="1" t="s">
        <v>28</v>
      </c>
      <c r="M406">
        <f t="shared" si="42"/>
        <v>300</v>
      </c>
      <c r="N406" t="str">
        <f t="shared" si="43"/>
        <v>1957-10-02</v>
      </c>
      <c r="O406">
        <f t="shared" si="44"/>
        <v>54</v>
      </c>
      <c r="P406" t="str">
        <f t="shared" si="45"/>
        <v>mężczyzna</v>
      </c>
      <c r="Q406">
        <f t="shared" si="46"/>
        <v>40</v>
      </c>
      <c r="R406">
        <f t="shared" si="47"/>
        <v>48</v>
      </c>
      <c r="S406">
        <f t="shared" ca="1" si="48"/>
        <v>5240</v>
      </c>
    </row>
    <row r="407" spans="1:19">
      <c r="A407" s="1" t="s">
        <v>19</v>
      </c>
      <c r="B407" s="2">
        <v>300</v>
      </c>
      <c r="C407" s="1">
        <v>300</v>
      </c>
      <c r="D407" s="1" t="s">
        <v>361</v>
      </c>
      <c r="E407" s="1">
        <v>12</v>
      </c>
      <c r="F407" s="3">
        <v>1000</v>
      </c>
      <c r="G407" s="1">
        <v>3</v>
      </c>
      <c r="H407" s="1" t="s">
        <v>1197</v>
      </c>
      <c r="I407" s="1" t="s">
        <v>363</v>
      </c>
      <c r="J407" s="1" t="s">
        <v>364</v>
      </c>
      <c r="K407" s="1" t="s">
        <v>1189</v>
      </c>
      <c r="L407" s="1" t="s">
        <v>995</v>
      </c>
      <c r="M407">
        <f t="shared" si="42"/>
        <v>300</v>
      </c>
      <c r="N407" t="str">
        <f t="shared" si="43"/>
        <v>1961-12-09</v>
      </c>
      <c r="O407">
        <f t="shared" si="44"/>
        <v>50</v>
      </c>
      <c r="P407" t="str">
        <f t="shared" si="45"/>
        <v>mężczyzna</v>
      </c>
      <c r="Q407">
        <f t="shared" si="46"/>
        <v>44</v>
      </c>
      <c r="R407">
        <f t="shared" si="47"/>
        <v>18</v>
      </c>
      <c r="S407">
        <f t="shared" ca="1" si="48"/>
        <v>0</v>
      </c>
    </row>
    <row r="408" spans="1:19">
      <c r="A408" s="1" t="s">
        <v>56</v>
      </c>
      <c r="B408" s="2">
        <v>305</v>
      </c>
      <c r="C408" s="1">
        <v>305</v>
      </c>
      <c r="D408" s="1" t="s">
        <v>179</v>
      </c>
      <c r="E408" s="1">
        <v>13</v>
      </c>
      <c r="F408" s="3">
        <v>1210</v>
      </c>
      <c r="G408" s="1">
        <v>1</v>
      </c>
      <c r="H408" s="1" t="s">
        <v>1198</v>
      </c>
      <c r="I408" s="1" t="s">
        <v>181</v>
      </c>
      <c r="J408" s="1" t="s">
        <v>16</v>
      </c>
      <c r="K408" s="1" t="s">
        <v>1189</v>
      </c>
      <c r="L408" s="1" t="s">
        <v>28</v>
      </c>
      <c r="M408">
        <f t="shared" si="42"/>
        <v>305</v>
      </c>
      <c r="N408" t="str">
        <f t="shared" si="43"/>
        <v>1946-11-09</v>
      </c>
      <c r="O408">
        <f t="shared" si="44"/>
        <v>65</v>
      </c>
      <c r="P408" t="str">
        <f t="shared" si="45"/>
        <v>kobieta</v>
      </c>
      <c r="Q408">
        <f t="shared" si="46"/>
        <v>139</v>
      </c>
      <c r="R408">
        <f t="shared" si="47"/>
        <v>48</v>
      </c>
      <c r="S408">
        <f t="shared" ca="1" si="48"/>
        <v>5240</v>
      </c>
    </row>
    <row r="409" spans="1:19">
      <c r="A409" s="1" t="s">
        <v>19</v>
      </c>
      <c r="B409" s="2">
        <v>800</v>
      </c>
      <c r="C409" s="1">
        <v>400</v>
      </c>
      <c r="D409" s="1" t="s">
        <v>1199</v>
      </c>
      <c r="E409" s="1">
        <v>11</v>
      </c>
      <c r="F409" s="3">
        <v>1590</v>
      </c>
      <c r="G409" s="1">
        <v>0</v>
      </c>
      <c r="H409" s="1" t="s">
        <v>1200</v>
      </c>
      <c r="I409" s="1" t="s">
        <v>1201</v>
      </c>
      <c r="J409" s="1" t="s">
        <v>16</v>
      </c>
      <c r="K409" s="1" t="s">
        <v>1189</v>
      </c>
      <c r="L409" s="1" t="s">
        <v>804</v>
      </c>
      <c r="M409">
        <f t="shared" si="42"/>
        <v>400</v>
      </c>
      <c r="N409" t="str">
        <f t="shared" si="43"/>
        <v>1982-12-12</v>
      </c>
      <c r="O409">
        <f t="shared" si="44"/>
        <v>29</v>
      </c>
      <c r="P409" t="str">
        <f t="shared" si="45"/>
        <v>mężczyzna</v>
      </c>
      <c r="Q409">
        <f t="shared" si="46"/>
        <v>54</v>
      </c>
      <c r="R409">
        <f t="shared" si="47"/>
        <v>48</v>
      </c>
      <c r="S409">
        <f t="shared" ca="1" si="48"/>
        <v>4</v>
      </c>
    </row>
    <row r="410" spans="1:19">
      <c r="A410" s="1" t="s">
        <v>19</v>
      </c>
      <c r="B410" s="2">
        <v>300</v>
      </c>
      <c r="C410" s="1">
        <v>300</v>
      </c>
      <c r="D410" s="1" t="s">
        <v>219</v>
      </c>
      <c r="E410" s="1">
        <v>13</v>
      </c>
      <c r="F410" s="3">
        <v>1240</v>
      </c>
      <c r="G410" s="1">
        <v>2</v>
      </c>
      <c r="H410" s="1" t="s">
        <v>1202</v>
      </c>
      <c r="I410" s="1" t="s">
        <v>221</v>
      </c>
      <c r="J410" s="1" t="s">
        <v>16</v>
      </c>
      <c r="K410" s="1" t="s">
        <v>1189</v>
      </c>
      <c r="L410" s="1" t="s">
        <v>1154</v>
      </c>
      <c r="M410">
        <f t="shared" si="42"/>
        <v>300</v>
      </c>
      <c r="N410" t="str">
        <f t="shared" si="43"/>
        <v>1953-12-01</v>
      </c>
      <c r="O410">
        <f t="shared" si="44"/>
        <v>58</v>
      </c>
      <c r="P410" t="str">
        <f t="shared" si="45"/>
        <v>kobieta</v>
      </c>
      <c r="Q410">
        <f t="shared" si="46"/>
        <v>71</v>
      </c>
      <c r="R410">
        <f t="shared" si="47"/>
        <v>48</v>
      </c>
      <c r="S410">
        <f t="shared" ca="1" si="48"/>
        <v>6</v>
      </c>
    </row>
    <row r="411" spans="1:19">
      <c r="A411" s="1" t="s">
        <v>19</v>
      </c>
      <c r="B411" s="2">
        <v>800</v>
      </c>
      <c r="C411" s="1">
        <v>800</v>
      </c>
      <c r="D411" s="1" t="s">
        <v>243</v>
      </c>
      <c r="E411" s="1">
        <v>12</v>
      </c>
      <c r="F411" s="3">
        <v>2500</v>
      </c>
      <c r="G411" s="1">
        <v>4</v>
      </c>
      <c r="H411" s="1" t="s">
        <v>1203</v>
      </c>
      <c r="I411" s="1" t="s">
        <v>245</v>
      </c>
      <c r="J411" s="1" t="s">
        <v>246</v>
      </c>
      <c r="K411" s="1" t="s">
        <v>1189</v>
      </c>
      <c r="L411" s="1" t="s">
        <v>1111</v>
      </c>
      <c r="M411">
        <f t="shared" si="42"/>
        <v>800</v>
      </c>
      <c r="N411" t="str">
        <f t="shared" si="43"/>
        <v>1954-03-09</v>
      </c>
      <c r="O411">
        <f t="shared" si="44"/>
        <v>57</v>
      </c>
      <c r="P411" t="str">
        <f t="shared" si="45"/>
        <v>mężczyzna</v>
      </c>
      <c r="Q411">
        <f t="shared" si="46"/>
        <v>6</v>
      </c>
      <c r="R411">
        <f t="shared" si="47"/>
        <v>4</v>
      </c>
      <c r="S411">
        <f t="shared" ca="1" si="48"/>
        <v>3</v>
      </c>
    </row>
    <row r="412" spans="1:19">
      <c r="A412" s="1" t="s">
        <v>24</v>
      </c>
      <c r="B412" s="2">
        <v>400</v>
      </c>
      <c r="C412" s="1">
        <v>0</v>
      </c>
      <c r="D412" s="1" t="s">
        <v>1204</v>
      </c>
      <c r="E412" s="1">
        <v>11</v>
      </c>
      <c r="F412" s="3">
        <v>1030</v>
      </c>
      <c r="G412" s="1">
        <v>0</v>
      </c>
      <c r="H412" s="1" t="s">
        <v>1205</v>
      </c>
      <c r="I412" s="1" t="s">
        <v>1206</v>
      </c>
      <c r="J412" s="1" t="s">
        <v>16</v>
      </c>
      <c r="K412" s="1" t="s">
        <v>16</v>
      </c>
      <c r="L412" s="1" t="s">
        <v>28</v>
      </c>
      <c r="M412">
        <f t="shared" si="42"/>
        <v>400</v>
      </c>
      <c r="N412" t="str">
        <f t="shared" si="43"/>
        <v>1956-12-16</v>
      </c>
      <c r="O412">
        <f t="shared" si="44"/>
        <v>55</v>
      </c>
      <c r="P412" t="str">
        <f t="shared" si="45"/>
        <v>kobieta</v>
      </c>
      <c r="Q412">
        <f t="shared" si="46"/>
        <v>164</v>
      </c>
      <c r="R412">
        <f t="shared" si="47"/>
        <v>48</v>
      </c>
      <c r="S412">
        <f t="shared" ca="1" si="48"/>
        <v>0</v>
      </c>
    </row>
    <row r="413" spans="1:19">
      <c r="A413" s="1" t="s">
        <v>19</v>
      </c>
      <c r="B413" s="2">
        <v>500</v>
      </c>
      <c r="C413" s="1">
        <v>500</v>
      </c>
      <c r="D413" s="1" t="s">
        <v>267</v>
      </c>
      <c r="E413" s="1">
        <v>13</v>
      </c>
      <c r="F413" s="3">
        <v>1700</v>
      </c>
      <c r="G413" s="1">
        <v>5</v>
      </c>
      <c r="H413" s="1" t="s">
        <v>1207</v>
      </c>
      <c r="I413" s="1" t="s">
        <v>15</v>
      </c>
      <c r="J413" s="1" t="s">
        <v>16</v>
      </c>
      <c r="K413" s="1" t="s">
        <v>1189</v>
      </c>
      <c r="L413" s="1" t="s">
        <v>939</v>
      </c>
      <c r="M413">
        <f t="shared" si="42"/>
        <v>500</v>
      </c>
      <c r="N413" t="str">
        <f t="shared" si="43"/>
        <v>1939-10-16</v>
      </c>
      <c r="O413">
        <f t="shared" si="44"/>
        <v>72</v>
      </c>
      <c r="P413" t="str">
        <f t="shared" si="45"/>
        <v>mężczyzna</v>
      </c>
      <c r="Q413">
        <f t="shared" si="46"/>
        <v>15</v>
      </c>
      <c r="R413">
        <f t="shared" si="47"/>
        <v>48</v>
      </c>
      <c r="S413">
        <f t="shared" ca="1" si="48"/>
        <v>0</v>
      </c>
    </row>
    <row r="414" spans="1:19">
      <c r="A414" s="1" t="s">
        <v>12</v>
      </c>
      <c r="B414" s="2">
        <v>300</v>
      </c>
      <c r="C414" s="1">
        <v>300</v>
      </c>
      <c r="D414" s="1" t="s">
        <v>237</v>
      </c>
      <c r="E414" s="1">
        <v>11</v>
      </c>
      <c r="F414" s="3">
        <v>1286.1600000000001</v>
      </c>
      <c r="G414" s="1">
        <v>2</v>
      </c>
      <c r="H414" s="1" t="s">
        <v>1208</v>
      </c>
      <c r="I414" s="1" t="s">
        <v>239</v>
      </c>
      <c r="J414" s="1" t="s">
        <v>16</v>
      </c>
      <c r="K414" s="1" t="s">
        <v>1189</v>
      </c>
      <c r="L414" s="1" t="s">
        <v>995</v>
      </c>
      <c r="M414">
        <f t="shared" si="42"/>
        <v>300</v>
      </c>
      <c r="N414" t="str">
        <f t="shared" si="43"/>
        <v>1969-09-09</v>
      </c>
      <c r="O414">
        <f t="shared" si="44"/>
        <v>42</v>
      </c>
      <c r="P414" t="str">
        <f t="shared" si="45"/>
        <v>kobieta</v>
      </c>
      <c r="Q414">
        <f t="shared" si="46"/>
        <v>118</v>
      </c>
      <c r="R414">
        <f t="shared" si="47"/>
        <v>48</v>
      </c>
      <c r="S414">
        <f t="shared" ca="1" si="48"/>
        <v>0</v>
      </c>
    </row>
    <row r="415" spans="1:19">
      <c r="A415" s="1" t="s">
        <v>12</v>
      </c>
      <c r="B415" s="2">
        <v>1500</v>
      </c>
      <c r="C415" s="1">
        <v>1500</v>
      </c>
      <c r="D415" s="1" t="s">
        <v>1209</v>
      </c>
      <c r="E415" s="1">
        <v>98</v>
      </c>
      <c r="F415" s="3">
        <v>3000</v>
      </c>
      <c r="G415" s="1">
        <v>2</v>
      </c>
      <c r="H415" s="1" t="s">
        <v>1210</v>
      </c>
      <c r="I415" s="1" t="s">
        <v>1211</v>
      </c>
      <c r="J415" s="1" t="s">
        <v>16</v>
      </c>
      <c r="K415" s="1" t="s">
        <v>1189</v>
      </c>
      <c r="L415" s="1" t="s">
        <v>1212</v>
      </c>
      <c r="M415">
        <f t="shared" si="42"/>
        <v>1500</v>
      </c>
      <c r="N415" t="str">
        <f t="shared" si="43"/>
        <v>1954-03-28</v>
      </c>
      <c r="O415">
        <f t="shared" si="44"/>
        <v>57</v>
      </c>
      <c r="P415" t="str">
        <f t="shared" si="45"/>
        <v>mężczyzna</v>
      </c>
      <c r="Q415">
        <f t="shared" si="46"/>
        <v>70</v>
      </c>
      <c r="R415">
        <f t="shared" si="47"/>
        <v>48</v>
      </c>
      <c r="S415">
        <f t="shared" ca="1" si="48"/>
        <v>17</v>
      </c>
    </row>
    <row r="416" spans="1:19">
      <c r="A416" s="1" t="s">
        <v>19</v>
      </c>
      <c r="B416" s="2">
        <v>500</v>
      </c>
      <c r="C416" s="1">
        <v>500</v>
      </c>
      <c r="D416" s="1" t="s">
        <v>1213</v>
      </c>
      <c r="E416" s="1">
        <v>13</v>
      </c>
      <c r="F416" s="3">
        <v>1000</v>
      </c>
      <c r="G416" s="1">
        <v>5</v>
      </c>
      <c r="H416" s="1" t="s">
        <v>1214</v>
      </c>
      <c r="I416" s="1" t="s">
        <v>1215</v>
      </c>
      <c r="J416" s="1" t="s">
        <v>16</v>
      </c>
      <c r="K416" s="1" t="s">
        <v>1189</v>
      </c>
      <c r="L416" s="1" t="s">
        <v>995</v>
      </c>
      <c r="M416">
        <f t="shared" si="42"/>
        <v>500</v>
      </c>
      <c r="N416" t="str">
        <f t="shared" si="43"/>
        <v>1951-02-15</v>
      </c>
      <c r="O416">
        <f t="shared" si="44"/>
        <v>60</v>
      </c>
      <c r="P416" t="str">
        <f t="shared" si="45"/>
        <v>kobieta</v>
      </c>
      <c r="Q416">
        <f t="shared" si="46"/>
        <v>69</v>
      </c>
      <c r="R416">
        <f t="shared" si="47"/>
        <v>48</v>
      </c>
      <c r="S416">
        <f t="shared" ca="1" si="48"/>
        <v>0</v>
      </c>
    </row>
    <row r="417" spans="1:19">
      <c r="A417" s="1" t="s">
        <v>19</v>
      </c>
      <c r="B417" s="2">
        <v>378.91</v>
      </c>
      <c r="C417" s="1">
        <v>378.91</v>
      </c>
      <c r="D417" s="1" t="s">
        <v>247</v>
      </c>
      <c r="E417" s="1">
        <v>13</v>
      </c>
      <c r="F417" s="3">
        <v>1291.18</v>
      </c>
      <c r="G417" s="1">
        <v>6</v>
      </c>
      <c r="H417" s="1" t="s">
        <v>1216</v>
      </c>
      <c r="I417" s="1" t="s">
        <v>66</v>
      </c>
      <c r="J417" s="1" t="s">
        <v>16</v>
      </c>
      <c r="K417" s="1" t="s">
        <v>1189</v>
      </c>
      <c r="L417" s="1" t="s">
        <v>1217</v>
      </c>
      <c r="M417">
        <f t="shared" si="42"/>
        <v>378.91</v>
      </c>
      <c r="N417" t="str">
        <f t="shared" si="43"/>
        <v>1941-03-08</v>
      </c>
      <c r="O417">
        <f t="shared" si="44"/>
        <v>70</v>
      </c>
      <c r="P417" t="str">
        <f t="shared" si="45"/>
        <v>kobieta</v>
      </c>
      <c r="Q417">
        <f t="shared" si="46"/>
        <v>80</v>
      </c>
      <c r="R417">
        <f t="shared" si="47"/>
        <v>48</v>
      </c>
      <c r="S417">
        <f t="shared" ca="1" si="48"/>
        <v>12</v>
      </c>
    </row>
    <row r="418" spans="1:19">
      <c r="A418" s="1" t="s">
        <v>19</v>
      </c>
      <c r="B418" s="2">
        <v>400</v>
      </c>
      <c r="C418" s="1">
        <v>400</v>
      </c>
      <c r="D418" s="1" t="s">
        <v>253</v>
      </c>
      <c r="E418" s="1">
        <v>12</v>
      </c>
      <c r="F418" s="3">
        <v>1700</v>
      </c>
      <c r="G418" s="1">
        <v>6</v>
      </c>
      <c r="H418" s="1" t="s">
        <v>1218</v>
      </c>
      <c r="I418" s="1" t="s">
        <v>255</v>
      </c>
      <c r="J418" s="1" t="s">
        <v>406</v>
      </c>
      <c r="K418" s="1" t="s">
        <v>1189</v>
      </c>
      <c r="L418" s="1" t="s">
        <v>995</v>
      </c>
      <c r="M418">
        <f t="shared" si="42"/>
        <v>400</v>
      </c>
      <c r="N418" t="str">
        <f t="shared" si="43"/>
        <v>1957-06-27</v>
      </c>
      <c r="O418">
        <f t="shared" si="44"/>
        <v>54</v>
      </c>
      <c r="P418" t="str">
        <f t="shared" si="45"/>
        <v>kobieta</v>
      </c>
      <c r="Q418">
        <f t="shared" si="46"/>
        <v>56</v>
      </c>
      <c r="R418">
        <f t="shared" si="47"/>
        <v>0</v>
      </c>
      <c r="S418">
        <f t="shared" ca="1" si="48"/>
        <v>0</v>
      </c>
    </row>
    <row r="419" spans="1:19">
      <c r="A419" s="1" t="s">
        <v>19</v>
      </c>
      <c r="B419" s="2">
        <v>350</v>
      </c>
      <c r="C419" s="1">
        <v>350</v>
      </c>
      <c r="D419" s="1" t="s">
        <v>1219</v>
      </c>
      <c r="E419" s="1">
        <v>11</v>
      </c>
      <c r="F419" s="3">
        <v>1348.95</v>
      </c>
      <c r="G419" s="1">
        <v>0</v>
      </c>
      <c r="H419" s="1" t="s">
        <v>1220</v>
      </c>
      <c r="I419" s="1" t="s">
        <v>1221</v>
      </c>
      <c r="J419" s="1" t="s">
        <v>16</v>
      </c>
      <c r="K419" s="1" t="s">
        <v>1189</v>
      </c>
      <c r="L419" s="1" t="s">
        <v>1154</v>
      </c>
      <c r="M419">
        <f t="shared" si="42"/>
        <v>350</v>
      </c>
      <c r="N419" t="str">
        <f t="shared" si="43"/>
        <v>1938-10-07</v>
      </c>
      <c r="O419">
        <f t="shared" si="44"/>
        <v>73</v>
      </c>
      <c r="P419" t="str">
        <f t="shared" si="45"/>
        <v>kobieta</v>
      </c>
      <c r="Q419">
        <f t="shared" si="46"/>
        <v>115</v>
      </c>
      <c r="R419">
        <f t="shared" si="47"/>
        <v>48</v>
      </c>
      <c r="S419">
        <f t="shared" ca="1" si="48"/>
        <v>6</v>
      </c>
    </row>
    <row r="420" spans="1:19">
      <c r="A420" s="1" t="s">
        <v>19</v>
      </c>
      <c r="B420" s="2">
        <v>200</v>
      </c>
      <c r="C420" s="1">
        <v>200</v>
      </c>
      <c r="D420" s="1" t="s">
        <v>104</v>
      </c>
      <c r="E420" s="1">
        <v>17</v>
      </c>
      <c r="F420" s="3">
        <v>985</v>
      </c>
      <c r="G420" s="1">
        <v>6</v>
      </c>
      <c r="H420" s="1" t="s">
        <v>1222</v>
      </c>
      <c r="I420" s="1" t="s">
        <v>106</v>
      </c>
      <c r="J420" s="1" t="s">
        <v>107</v>
      </c>
      <c r="K420" s="1" t="s">
        <v>1189</v>
      </c>
      <c r="L420" s="1" t="s">
        <v>842</v>
      </c>
      <c r="M420">
        <f t="shared" si="42"/>
        <v>200</v>
      </c>
      <c r="N420" t="str">
        <f t="shared" si="43"/>
        <v>1991-01-04</v>
      </c>
      <c r="O420">
        <f t="shared" si="44"/>
        <v>20</v>
      </c>
      <c r="P420" t="str">
        <f t="shared" si="45"/>
        <v>mężczyzna</v>
      </c>
      <c r="Q420">
        <f t="shared" si="46"/>
        <v>14</v>
      </c>
      <c r="R420">
        <f t="shared" si="47"/>
        <v>3</v>
      </c>
      <c r="S420">
        <f t="shared" ca="1" si="48"/>
        <v>0</v>
      </c>
    </row>
    <row r="421" spans="1:19">
      <c r="A421" s="1" t="s">
        <v>12</v>
      </c>
      <c r="B421" s="2">
        <v>200</v>
      </c>
      <c r="C421" s="1">
        <v>200</v>
      </c>
      <c r="D421" s="1" t="s">
        <v>216</v>
      </c>
      <c r="E421" s="1">
        <v>16</v>
      </c>
      <c r="F421" s="3">
        <v>685</v>
      </c>
      <c r="G421" s="1">
        <v>1</v>
      </c>
      <c r="H421" s="1" t="s">
        <v>1223</v>
      </c>
      <c r="I421" s="1" t="s">
        <v>218</v>
      </c>
      <c r="J421" s="1" t="s">
        <v>16</v>
      </c>
      <c r="K421" s="1" t="s">
        <v>1189</v>
      </c>
      <c r="L421" s="1" t="s">
        <v>313</v>
      </c>
      <c r="M421">
        <f t="shared" si="42"/>
        <v>200</v>
      </c>
      <c r="N421" t="str">
        <f t="shared" si="43"/>
        <v>1959-07-19</v>
      </c>
      <c r="O421">
        <f t="shared" si="44"/>
        <v>52</v>
      </c>
      <c r="P421" t="str">
        <f t="shared" si="45"/>
        <v>kobieta</v>
      </c>
      <c r="Q421">
        <f t="shared" si="46"/>
        <v>42</v>
      </c>
      <c r="R421">
        <f t="shared" si="47"/>
        <v>48</v>
      </c>
      <c r="S421">
        <f t="shared" ca="1" si="48"/>
        <v>0</v>
      </c>
    </row>
    <row r="422" spans="1:19">
      <c r="A422" s="1" t="s">
        <v>19</v>
      </c>
      <c r="B422" s="2">
        <v>600</v>
      </c>
      <c r="C422" s="1">
        <v>600</v>
      </c>
      <c r="D422" s="1" t="s">
        <v>198</v>
      </c>
      <c r="E422" s="1">
        <v>98</v>
      </c>
      <c r="F422" s="3">
        <v>5000</v>
      </c>
      <c r="G422" s="1">
        <v>1</v>
      </c>
      <c r="H422" s="1" t="s">
        <v>1224</v>
      </c>
      <c r="I422" s="1" t="s">
        <v>200</v>
      </c>
      <c r="J422" s="1" t="s">
        <v>16</v>
      </c>
      <c r="K422" s="1" t="s">
        <v>755</v>
      </c>
      <c r="L422" s="1" t="s">
        <v>1150</v>
      </c>
      <c r="M422">
        <f t="shared" si="42"/>
        <v>600</v>
      </c>
      <c r="N422" t="str">
        <f t="shared" si="43"/>
        <v>1970-10-26</v>
      </c>
      <c r="O422">
        <f t="shared" si="44"/>
        <v>41</v>
      </c>
      <c r="P422" t="str">
        <f t="shared" si="45"/>
        <v>kobieta</v>
      </c>
      <c r="Q422">
        <f t="shared" si="46"/>
        <v>85</v>
      </c>
      <c r="R422">
        <f t="shared" si="47"/>
        <v>48</v>
      </c>
      <c r="S422">
        <f t="shared" ca="1" si="48"/>
        <v>6</v>
      </c>
    </row>
    <row r="423" spans="1:19">
      <c r="A423" s="1" t="s">
        <v>12</v>
      </c>
      <c r="B423" s="2">
        <v>200</v>
      </c>
      <c r="C423" s="1">
        <v>200</v>
      </c>
      <c r="D423" s="1" t="s">
        <v>232</v>
      </c>
      <c r="E423" s="1">
        <v>13</v>
      </c>
      <c r="F423" s="3">
        <v>1134.96</v>
      </c>
      <c r="G423" s="1">
        <v>2</v>
      </c>
      <c r="H423" s="1" t="s">
        <v>1225</v>
      </c>
      <c r="I423" s="1" t="s">
        <v>234</v>
      </c>
      <c r="J423" s="1" t="s">
        <v>16</v>
      </c>
      <c r="K423" s="1" t="s">
        <v>755</v>
      </c>
      <c r="L423" s="1" t="s">
        <v>18</v>
      </c>
      <c r="M423">
        <f t="shared" si="42"/>
        <v>200</v>
      </c>
      <c r="N423" t="str">
        <f t="shared" si="43"/>
        <v>1943-04-08</v>
      </c>
      <c r="O423">
        <f t="shared" si="44"/>
        <v>68</v>
      </c>
      <c r="P423" t="str">
        <f t="shared" si="45"/>
        <v>kobieta</v>
      </c>
      <c r="Q423">
        <f t="shared" si="46"/>
        <v>162</v>
      </c>
      <c r="R423">
        <f t="shared" si="47"/>
        <v>48</v>
      </c>
      <c r="S423">
        <f t="shared" ca="1" si="48"/>
        <v>13</v>
      </c>
    </row>
    <row r="424" spans="1:19">
      <c r="A424" s="1" t="s">
        <v>19</v>
      </c>
      <c r="B424" s="2">
        <v>300</v>
      </c>
      <c r="C424" s="1">
        <v>300</v>
      </c>
      <c r="D424" s="1" t="s">
        <v>366</v>
      </c>
      <c r="E424" s="1">
        <v>13</v>
      </c>
      <c r="F424" s="3">
        <v>1239.98</v>
      </c>
      <c r="G424" s="1">
        <v>3</v>
      </c>
      <c r="H424" s="1" t="s">
        <v>1226</v>
      </c>
      <c r="I424" s="1" t="s">
        <v>368</v>
      </c>
      <c r="J424" s="1" t="s">
        <v>16</v>
      </c>
      <c r="K424" s="1" t="s">
        <v>755</v>
      </c>
      <c r="L424" s="1" t="s">
        <v>995</v>
      </c>
      <c r="M424">
        <f t="shared" si="42"/>
        <v>300</v>
      </c>
      <c r="N424" t="str">
        <f t="shared" si="43"/>
        <v>1933-03-29</v>
      </c>
      <c r="O424">
        <f t="shared" si="44"/>
        <v>78</v>
      </c>
      <c r="P424" t="str">
        <f t="shared" si="45"/>
        <v>kobieta</v>
      </c>
      <c r="Q424">
        <f t="shared" si="46"/>
        <v>256</v>
      </c>
      <c r="R424">
        <f t="shared" si="47"/>
        <v>48</v>
      </c>
      <c r="S424">
        <f t="shared" ca="1" si="48"/>
        <v>0</v>
      </c>
    </row>
    <row r="425" spans="1:19">
      <c r="A425" s="1" t="s">
        <v>12</v>
      </c>
      <c r="B425" s="2">
        <v>200</v>
      </c>
      <c r="C425" s="1">
        <v>200</v>
      </c>
      <c r="D425" s="1" t="s">
        <v>1227</v>
      </c>
      <c r="E425" s="1">
        <v>11</v>
      </c>
      <c r="F425" s="3">
        <v>1400</v>
      </c>
      <c r="G425" s="1">
        <v>0</v>
      </c>
      <c r="H425" s="1" t="s">
        <v>1228</v>
      </c>
      <c r="I425" s="1" t="s">
        <v>1229</v>
      </c>
      <c r="J425" s="1" t="s">
        <v>16</v>
      </c>
      <c r="K425" s="1" t="s">
        <v>755</v>
      </c>
      <c r="L425" s="1" t="s">
        <v>939</v>
      </c>
      <c r="M425">
        <f t="shared" si="42"/>
        <v>200</v>
      </c>
      <c r="N425" t="str">
        <f t="shared" si="43"/>
        <v>1968-03-01</v>
      </c>
      <c r="O425">
        <f t="shared" si="44"/>
        <v>43</v>
      </c>
      <c r="P425" t="str">
        <f t="shared" si="45"/>
        <v>kobieta</v>
      </c>
      <c r="Q425">
        <f t="shared" si="46"/>
        <v>26</v>
      </c>
      <c r="R425">
        <f t="shared" si="47"/>
        <v>48</v>
      </c>
      <c r="S425">
        <f t="shared" ca="1" si="48"/>
        <v>0</v>
      </c>
    </row>
    <row r="426" spans="1:19">
      <c r="A426" s="1" t="s">
        <v>19</v>
      </c>
      <c r="B426" s="2">
        <v>1000</v>
      </c>
      <c r="C426" s="1">
        <v>500</v>
      </c>
      <c r="D426" s="1" t="s">
        <v>1230</v>
      </c>
      <c r="E426" s="1">
        <v>13</v>
      </c>
      <c r="F426" s="3">
        <v>864.34</v>
      </c>
      <c r="G426" s="1">
        <v>0</v>
      </c>
      <c r="H426" s="1" t="s">
        <v>1231</v>
      </c>
      <c r="I426" s="1" t="s">
        <v>1232</v>
      </c>
      <c r="J426" s="1" t="s">
        <v>16</v>
      </c>
      <c r="K426" s="1" t="s">
        <v>755</v>
      </c>
      <c r="L426" s="1" t="s">
        <v>842</v>
      </c>
      <c r="M426">
        <f t="shared" si="42"/>
        <v>500</v>
      </c>
      <c r="N426" t="str">
        <f t="shared" si="43"/>
        <v>1964-05-19</v>
      </c>
      <c r="O426">
        <f t="shared" si="44"/>
        <v>47</v>
      </c>
      <c r="P426" t="str">
        <f t="shared" si="45"/>
        <v>mężczyzna</v>
      </c>
      <c r="Q426">
        <f t="shared" si="46"/>
        <v>157</v>
      </c>
      <c r="R426">
        <f t="shared" si="47"/>
        <v>48</v>
      </c>
      <c r="S426">
        <f t="shared" ca="1" si="48"/>
        <v>0</v>
      </c>
    </row>
    <row r="427" spans="1:19">
      <c r="A427" s="1" t="s">
        <v>309</v>
      </c>
      <c r="B427" s="2">
        <v>350</v>
      </c>
      <c r="C427" s="1">
        <v>350</v>
      </c>
      <c r="D427" s="1" t="s">
        <v>1233</v>
      </c>
      <c r="E427" s="1">
        <v>13</v>
      </c>
      <c r="F427" s="3">
        <v>1503</v>
      </c>
      <c r="G427" s="1">
        <v>0</v>
      </c>
      <c r="H427" s="1" t="s">
        <v>1234</v>
      </c>
      <c r="I427" s="1" t="s">
        <v>1235</v>
      </c>
      <c r="J427" s="1" t="s">
        <v>16</v>
      </c>
      <c r="K427" s="1" t="s">
        <v>755</v>
      </c>
      <c r="L427" s="1" t="s">
        <v>1236</v>
      </c>
      <c r="M427">
        <f t="shared" si="42"/>
        <v>350</v>
      </c>
      <c r="N427" t="str">
        <f t="shared" si="43"/>
        <v>1950-07-09</v>
      </c>
      <c r="O427">
        <f t="shared" si="44"/>
        <v>61</v>
      </c>
      <c r="P427" t="str">
        <f t="shared" si="45"/>
        <v>mężczyzna</v>
      </c>
      <c r="Q427">
        <f t="shared" si="46"/>
        <v>167</v>
      </c>
      <c r="R427">
        <f t="shared" si="47"/>
        <v>48</v>
      </c>
      <c r="S427">
        <f t="shared" ca="1" si="48"/>
        <v>18</v>
      </c>
    </row>
    <row r="428" spans="1:19">
      <c r="A428" s="1" t="s">
        <v>24</v>
      </c>
      <c r="B428" s="2">
        <v>400</v>
      </c>
      <c r="C428" s="1">
        <v>0</v>
      </c>
      <c r="D428" s="1" t="s">
        <v>1237</v>
      </c>
      <c r="E428" s="1">
        <v>11</v>
      </c>
      <c r="F428" s="3">
        <v>1021.1</v>
      </c>
      <c r="G428" s="1">
        <v>0</v>
      </c>
      <c r="H428" s="1" t="s">
        <v>1238</v>
      </c>
      <c r="I428" s="1" t="s">
        <v>328</v>
      </c>
      <c r="J428" s="1" t="s">
        <v>16</v>
      </c>
      <c r="K428" s="1" t="s">
        <v>16</v>
      </c>
      <c r="L428" s="1" t="s">
        <v>28</v>
      </c>
      <c r="M428">
        <f t="shared" si="42"/>
        <v>400</v>
      </c>
      <c r="N428" t="str">
        <f t="shared" si="43"/>
        <v>1971-05-24</v>
      </c>
      <c r="O428">
        <f t="shared" si="44"/>
        <v>40</v>
      </c>
      <c r="P428" t="str">
        <f t="shared" si="45"/>
        <v>kobieta</v>
      </c>
      <c r="Q428">
        <f t="shared" si="46"/>
        <v>70</v>
      </c>
      <c r="R428">
        <f t="shared" si="47"/>
        <v>48</v>
      </c>
      <c r="S428">
        <f t="shared" ca="1" si="48"/>
        <v>0</v>
      </c>
    </row>
    <row r="429" spans="1:19">
      <c r="A429" s="1" t="s">
        <v>19</v>
      </c>
      <c r="B429" s="2">
        <v>300</v>
      </c>
      <c r="C429" s="1">
        <v>300</v>
      </c>
      <c r="D429" s="1" t="s">
        <v>115</v>
      </c>
      <c r="E429" s="1">
        <v>11</v>
      </c>
      <c r="F429" s="3">
        <v>3000</v>
      </c>
      <c r="G429" s="1">
        <v>6</v>
      </c>
      <c r="H429" s="1" t="s">
        <v>1239</v>
      </c>
      <c r="I429" s="1" t="s">
        <v>117</v>
      </c>
      <c r="J429" s="1" t="s">
        <v>16</v>
      </c>
      <c r="K429" s="1" t="s">
        <v>755</v>
      </c>
      <c r="L429" s="1" t="s">
        <v>995</v>
      </c>
      <c r="M429">
        <f t="shared" si="42"/>
        <v>300</v>
      </c>
      <c r="N429" t="str">
        <f t="shared" si="43"/>
        <v>1951-04-15</v>
      </c>
      <c r="O429">
        <f t="shared" si="44"/>
        <v>60</v>
      </c>
      <c r="P429" t="str">
        <f t="shared" si="45"/>
        <v>mężczyzna</v>
      </c>
      <c r="Q429">
        <f t="shared" si="46"/>
        <v>213</v>
      </c>
      <c r="R429">
        <f t="shared" si="47"/>
        <v>48</v>
      </c>
      <c r="S429">
        <f t="shared" ca="1" si="48"/>
        <v>0</v>
      </c>
    </row>
    <row r="430" spans="1:19">
      <c r="A430" s="1" t="s">
        <v>24</v>
      </c>
      <c r="B430" s="2">
        <v>800</v>
      </c>
      <c r="C430" s="1">
        <v>0</v>
      </c>
      <c r="D430" s="1" t="s">
        <v>1240</v>
      </c>
      <c r="E430" s="1">
        <v>11</v>
      </c>
      <c r="F430" s="3">
        <v>2349</v>
      </c>
      <c r="G430" s="1">
        <v>0</v>
      </c>
      <c r="H430" s="1" t="s">
        <v>1241</v>
      </c>
      <c r="I430" s="1" t="s">
        <v>1242</v>
      </c>
      <c r="J430" s="1" t="s">
        <v>16</v>
      </c>
      <c r="K430" s="1" t="s">
        <v>16</v>
      </c>
      <c r="L430" s="1" t="s">
        <v>28</v>
      </c>
      <c r="M430">
        <f t="shared" si="42"/>
        <v>800</v>
      </c>
      <c r="N430" t="str">
        <f t="shared" si="43"/>
        <v>1987-03-29</v>
      </c>
      <c r="O430">
        <f t="shared" si="44"/>
        <v>24</v>
      </c>
      <c r="P430" t="str">
        <f t="shared" si="45"/>
        <v>mężczyzna</v>
      </c>
      <c r="Q430">
        <f t="shared" si="46"/>
        <v>22</v>
      </c>
      <c r="R430">
        <f t="shared" si="47"/>
        <v>48</v>
      </c>
      <c r="S430">
        <f t="shared" ca="1" si="48"/>
        <v>0</v>
      </c>
    </row>
    <row r="431" spans="1:19">
      <c r="A431" s="1" t="s">
        <v>24</v>
      </c>
      <c r="B431" s="2">
        <v>300</v>
      </c>
      <c r="C431" s="1">
        <v>0</v>
      </c>
      <c r="D431" s="1" t="s">
        <v>1243</v>
      </c>
      <c r="E431" s="1">
        <v>12</v>
      </c>
      <c r="F431" s="3">
        <v>1100</v>
      </c>
      <c r="G431" s="1">
        <v>0</v>
      </c>
      <c r="H431" s="1" t="s">
        <v>1244</v>
      </c>
      <c r="I431" s="1" t="s">
        <v>151</v>
      </c>
      <c r="J431" s="1" t="s">
        <v>1245</v>
      </c>
      <c r="K431" s="1" t="s">
        <v>16</v>
      </c>
      <c r="L431" s="1" t="s">
        <v>28</v>
      </c>
      <c r="M431">
        <f t="shared" si="42"/>
        <v>300</v>
      </c>
      <c r="N431" t="str">
        <f t="shared" si="43"/>
        <v>1990-04-27</v>
      </c>
      <c r="O431">
        <f t="shared" si="44"/>
        <v>21</v>
      </c>
      <c r="P431" t="str">
        <f t="shared" si="45"/>
        <v>kobieta</v>
      </c>
      <c r="Q431">
        <f t="shared" si="46"/>
        <v>15</v>
      </c>
      <c r="R431">
        <f t="shared" si="47"/>
        <v>48</v>
      </c>
      <c r="S431">
        <f t="shared" ca="1" si="48"/>
        <v>0</v>
      </c>
    </row>
    <row r="432" spans="1:19">
      <c r="A432" s="1" t="s">
        <v>19</v>
      </c>
      <c r="B432" s="2">
        <v>400</v>
      </c>
      <c r="C432" s="1">
        <v>400</v>
      </c>
      <c r="D432" s="1" t="s">
        <v>400</v>
      </c>
      <c r="E432" s="1">
        <v>11</v>
      </c>
      <c r="F432" s="3">
        <v>1800</v>
      </c>
      <c r="G432" s="1">
        <v>2</v>
      </c>
      <c r="H432" s="1" t="s">
        <v>1246</v>
      </c>
      <c r="I432" s="1" t="s">
        <v>402</v>
      </c>
      <c r="J432" s="1" t="s">
        <v>16</v>
      </c>
      <c r="K432" s="1" t="s">
        <v>755</v>
      </c>
      <c r="L432" s="1" t="s">
        <v>804</v>
      </c>
      <c r="M432">
        <f t="shared" si="42"/>
        <v>400</v>
      </c>
      <c r="N432" t="str">
        <f t="shared" si="43"/>
        <v>1960-11-18</v>
      </c>
      <c r="O432">
        <f t="shared" si="44"/>
        <v>51</v>
      </c>
      <c r="P432" t="str">
        <f t="shared" si="45"/>
        <v>mężczyzna</v>
      </c>
      <c r="Q432">
        <f t="shared" si="46"/>
        <v>260</v>
      </c>
      <c r="R432">
        <f t="shared" si="47"/>
        <v>48</v>
      </c>
      <c r="S432">
        <f t="shared" ca="1" si="48"/>
        <v>3</v>
      </c>
    </row>
    <row r="433" spans="1:19">
      <c r="A433" s="1" t="s">
        <v>19</v>
      </c>
      <c r="B433" s="2">
        <v>600</v>
      </c>
      <c r="C433" s="1">
        <v>600</v>
      </c>
      <c r="D433" s="1" t="s">
        <v>1247</v>
      </c>
      <c r="E433" s="1">
        <v>12</v>
      </c>
      <c r="F433" s="3">
        <v>3500</v>
      </c>
      <c r="G433" s="1">
        <v>0</v>
      </c>
      <c r="H433" s="1" t="s">
        <v>1248</v>
      </c>
      <c r="I433" s="1" t="s">
        <v>1249</v>
      </c>
      <c r="J433" s="1" t="s">
        <v>1250</v>
      </c>
      <c r="K433" s="1" t="s">
        <v>755</v>
      </c>
      <c r="L433" s="1" t="s">
        <v>1109</v>
      </c>
      <c r="M433">
        <f t="shared" si="42"/>
        <v>600</v>
      </c>
      <c r="N433" t="str">
        <f t="shared" si="43"/>
        <v>1966-03-25</v>
      </c>
      <c r="O433">
        <f t="shared" si="44"/>
        <v>45</v>
      </c>
      <c r="P433" t="str">
        <f t="shared" si="45"/>
        <v>mężczyzna</v>
      </c>
      <c r="Q433">
        <f t="shared" si="46"/>
        <v>188</v>
      </c>
      <c r="R433">
        <f t="shared" si="47"/>
        <v>28</v>
      </c>
      <c r="S433">
        <f t="shared" ca="1" si="48"/>
        <v>0</v>
      </c>
    </row>
    <row r="434" spans="1:19">
      <c r="A434" s="1" t="s">
        <v>24</v>
      </c>
      <c r="B434" s="2">
        <v>1000</v>
      </c>
      <c r="C434" s="1">
        <v>0</v>
      </c>
      <c r="D434" s="1" t="s">
        <v>1251</v>
      </c>
      <c r="E434" s="1">
        <v>11</v>
      </c>
      <c r="F434" s="3">
        <v>2024.14</v>
      </c>
      <c r="G434" s="1">
        <v>0</v>
      </c>
      <c r="H434" s="1" t="s">
        <v>1252</v>
      </c>
      <c r="I434" s="1" t="s">
        <v>1253</v>
      </c>
      <c r="J434" s="1" t="s">
        <v>16</v>
      </c>
      <c r="K434" s="1" t="s">
        <v>16</v>
      </c>
      <c r="L434" s="1" t="s">
        <v>28</v>
      </c>
      <c r="M434">
        <f t="shared" si="42"/>
        <v>1000</v>
      </c>
      <c r="N434" t="str">
        <f t="shared" si="43"/>
        <v>1988-09-13</v>
      </c>
      <c r="O434">
        <f t="shared" si="44"/>
        <v>23</v>
      </c>
      <c r="P434" t="str">
        <f t="shared" si="45"/>
        <v>mężczyzna</v>
      </c>
      <c r="Q434">
        <f t="shared" si="46"/>
        <v>29</v>
      </c>
      <c r="R434">
        <f t="shared" si="47"/>
        <v>48</v>
      </c>
      <c r="S434">
        <f t="shared" ca="1" si="48"/>
        <v>0</v>
      </c>
    </row>
    <row r="435" spans="1:19">
      <c r="A435" s="1" t="s">
        <v>12</v>
      </c>
      <c r="B435" s="2">
        <v>200</v>
      </c>
      <c r="C435" s="1">
        <v>200</v>
      </c>
      <c r="D435" s="1" t="s">
        <v>301</v>
      </c>
      <c r="E435" s="1">
        <v>13</v>
      </c>
      <c r="F435" s="3">
        <v>910</v>
      </c>
      <c r="G435" s="1">
        <v>6</v>
      </c>
      <c r="H435" s="1" t="s">
        <v>1254</v>
      </c>
      <c r="I435" s="1" t="s">
        <v>303</v>
      </c>
      <c r="J435" s="1" t="s">
        <v>16</v>
      </c>
      <c r="K435" s="1" t="s">
        <v>1255</v>
      </c>
      <c r="L435" s="1" t="s">
        <v>939</v>
      </c>
      <c r="M435">
        <f t="shared" si="42"/>
        <v>200</v>
      </c>
      <c r="N435" t="str">
        <f t="shared" si="43"/>
        <v>1945-11-27</v>
      </c>
      <c r="O435">
        <f t="shared" si="44"/>
        <v>66</v>
      </c>
      <c r="P435" t="str">
        <f t="shared" si="45"/>
        <v>kobieta</v>
      </c>
      <c r="Q435">
        <f t="shared" si="46"/>
        <v>71</v>
      </c>
      <c r="R435">
        <f t="shared" si="47"/>
        <v>48</v>
      </c>
      <c r="S435">
        <f t="shared" ca="1" si="48"/>
        <v>0</v>
      </c>
    </row>
    <row r="436" spans="1:19">
      <c r="A436" s="1" t="s">
        <v>19</v>
      </c>
      <c r="B436" s="2">
        <v>200</v>
      </c>
      <c r="C436" s="1">
        <v>200</v>
      </c>
      <c r="D436" s="1" t="s">
        <v>320</v>
      </c>
      <c r="E436" s="1">
        <v>13</v>
      </c>
      <c r="F436" s="3">
        <v>722.05</v>
      </c>
      <c r="G436" s="1">
        <v>5</v>
      </c>
      <c r="H436" s="1" t="s">
        <v>1256</v>
      </c>
      <c r="I436" s="1" t="s">
        <v>322</v>
      </c>
      <c r="J436" s="1" t="s">
        <v>16</v>
      </c>
      <c r="K436" s="1" t="s">
        <v>1255</v>
      </c>
      <c r="L436" s="1" t="s">
        <v>1111</v>
      </c>
      <c r="M436">
        <f t="shared" si="42"/>
        <v>200</v>
      </c>
      <c r="N436" t="str">
        <f t="shared" si="43"/>
        <v>1940-07-28</v>
      </c>
      <c r="O436">
        <f t="shared" si="44"/>
        <v>71</v>
      </c>
      <c r="P436" t="str">
        <f t="shared" si="45"/>
        <v>kobieta</v>
      </c>
      <c r="Q436">
        <f t="shared" si="46"/>
        <v>198</v>
      </c>
      <c r="R436">
        <f t="shared" si="47"/>
        <v>48</v>
      </c>
      <c r="S436">
        <f t="shared" ca="1" si="48"/>
        <v>0</v>
      </c>
    </row>
    <row r="437" spans="1:19">
      <c r="A437" s="1" t="s">
        <v>19</v>
      </c>
      <c r="B437" s="2">
        <v>400</v>
      </c>
      <c r="C437" s="1">
        <v>400</v>
      </c>
      <c r="D437" s="1" t="s">
        <v>331</v>
      </c>
      <c r="E437" s="1">
        <v>13</v>
      </c>
      <c r="F437" s="3">
        <v>1870</v>
      </c>
      <c r="G437" s="1">
        <v>1</v>
      </c>
      <c r="H437" s="1" t="s">
        <v>1257</v>
      </c>
      <c r="I437" s="1" t="s">
        <v>333</v>
      </c>
      <c r="J437" s="1" t="s">
        <v>16</v>
      </c>
      <c r="K437" s="1" t="s">
        <v>1255</v>
      </c>
      <c r="L437" s="1" t="s">
        <v>804</v>
      </c>
      <c r="M437">
        <f t="shared" si="42"/>
        <v>400</v>
      </c>
      <c r="N437" t="str">
        <f t="shared" si="43"/>
        <v>1939-05-13</v>
      </c>
      <c r="O437">
        <f t="shared" si="44"/>
        <v>72</v>
      </c>
      <c r="P437" t="str">
        <f t="shared" si="45"/>
        <v>mężczyzna</v>
      </c>
      <c r="Q437">
        <f t="shared" si="46"/>
        <v>86</v>
      </c>
      <c r="R437">
        <f t="shared" si="47"/>
        <v>48</v>
      </c>
      <c r="S437">
        <f t="shared" ca="1" si="48"/>
        <v>1</v>
      </c>
    </row>
    <row r="438" spans="1:19">
      <c r="A438" s="1" t="s">
        <v>24</v>
      </c>
      <c r="B438" s="2">
        <v>1000</v>
      </c>
      <c r="C438" s="1">
        <v>0</v>
      </c>
      <c r="D438" s="1" t="s">
        <v>1258</v>
      </c>
      <c r="E438" s="1">
        <v>11</v>
      </c>
      <c r="F438" s="3">
        <v>2107.7600000000002</v>
      </c>
      <c r="G438" s="1">
        <v>0</v>
      </c>
      <c r="H438" s="1" t="s">
        <v>1259</v>
      </c>
      <c r="I438" s="1" t="s">
        <v>371</v>
      </c>
      <c r="J438" s="1" t="s">
        <v>16</v>
      </c>
      <c r="K438" s="1" t="s">
        <v>16</v>
      </c>
      <c r="L438" s="1" t="s">
        <v>28</v>
      </c>
      <c r="M438">
        <f t="shared" si="42"/>
        <v>1000</v>
      </c>
      <c r="N438" t="str">
        <f t="shared" si="43"/>
        <v>1957-12-09</v>
      </c>
      <c r="O438">
        <f t="shared" si="44"/>
        <v>54</v>
      </c>
      <c r="P438" t="str">
        <f t="shared" si="45"/>
        <v>mężczyzna</v>
      </c>
      <c r="Q438">
        <f t="shared" si="46"/>
        <v>121</v>
      </c>
      <c r="R438">
        <f t="shared" si="47"/>
        <v>48</v>
      </c>
      <c r="S438">
        <f t="shared" ca="1" si="48"/>
        <v>0</v>
      </c>
    </row>
    <row r="439" spans="1:19">
      <c r="A439" s="1" t="s">
        <v>19</v>
      </c>
      <c r="B439" s="2">
        <v>1000</v>
      </c>
      <c r="C439" s="1">
        <v>500</v>
      </c>
      <c r="D439" s="1" t="s">
        <v>1260</v>
      </c>
      <c r="E439" s="1">
        <v>11</v>
      </c>
      <c r="F439" s="3">
        <v>2245.0100000000002</v>
      </c>
      <c r="G439" s="1">
        <v>0</v>
      </c>
      <c r="H439" s="1" t="s">
        <v>1261</v>
      </c>
      <c r="I439" s="1" t="s">
        <v>1262</v>
      </c>
      <c r="J439" s="1" t="s">
        <v>16</v>
      </c>
      <c r="K439" s="1" t="s">
        <v>1255</v>
      </c>
      <c r="L439" s="1" t="s">
        <v>1150</v>
      </c>
      <c r="M439">
        <f t="shared" si="42"/>
        <v>500</v>
      </c>
      <c r="N439" t="str">
        <f t="shared" si="43"/>
        <v>1967-01-03</v>
      </c>
      <c r="O439">
        <f t="shared" si="44"/>
        <v>44</v>
      </c>
      <c r="P439" t="str">
        <f t="shared" si="45"/>
        <v>kobieta</v>
      </c>
      <c r="Q439">
        <f t="shared" si="46"/>
        <v>147</v>
      </c>
      <c r="R439">
        <f t="shared" si="47"/>
        <v>48</v>
      </c>
      <c r="S439">
        <f t="shared" ca="1" si="48"/>
        <v>4</v>
      </c>
    </row>
    <row r="440" spans="1:19">
      <c r="A440" s="1" t="s">
        <v>12</v>
      </c>
      <c r="B440" s="2">
        <v>300</v>
      </c>
      <c r="C440" s="1">
        <v>300</v>
      </c>
      <c r="D440" s="1" t="s">
        <v>458</v>
      </c>
      <c r="E440" s="1">
        <v>13</v>
      </c>
      <c r="F440" s="3">
        <v>2282</v>
      </c>
      <c r="G440" s="1">
        <v>2</v>
      </c>
      <c r="H440" s="1" t="s">
        <v>1263</v>
      </c>
      <c r="I440" s="1" t="s">
        <v>460</v>
      </c>
      <c r="J440" s="1" t="s">
        <v>16</v>
      </c>
      <c r="K440" s="1" t="s">
        <v>1255</v>
      </c>
      <c r="L440" s="1" t="s">
        <v>670</v>
      </c>
      <c r="M440">
        <f t="shared" si="42"/>
        <v>300</v>
      </c>
      <c r="N440" t="str">
        <f t="shared" si="43"/>
        <v>1950-03-26</v>
      </c>
      <c r="O440">
        <f t="shared" si="44"/>
        <v>61</v>
      </c>
      <c r="P440" t="str">
        <f t="shared" si="45"/>
        <v>kobieta</v>
      </c>
      <c r="Q440">
        <f t="shared" si="46"/>
        <v>26</v>
      </c>
      <c r="R440">
        <f t="shared" si="47"/>
        <v>48</v>
      </c>
      <c r="S440">
        <f t="shared" ca="1" si="48"/>
        <v>0</v>
      </c>
    </row>
    <row r="441" spans="1:19">
      <c r="A441" s="1" t="s">
        <v>19</v>
      </c>
      <c r="B441" s="2">
        <v>500</v>
      </c>
      <c r="C441" s="1">
        <v>500</v>
      </c>
      <c r="D441" s="1" t="s">
        <v>334</v>
      </c>
      <c r="E441" s="1">
        <v>16</v>
      </c>
      <c r="F441" s="3">
        <v>1770</v>
      </c>
      <c r="G441" s="1">
        <v>6</v>
      </c>
      <c r="H441" s="1" t="s">
        <v>1264</v>
      </c>
      <c r="I441" s="1" t="s">
        <v>336</v>
      </c>
      <c r="J441" s="1" t="s">
        <v>16</v>
      </c>
      <c r="K441" s="1" t="s">
        <v>1255</v>
      </c>
      <c r="L441" s="1" t="s">
        <v>804</v>
      </c>
      <c r="M441">
        <f t="shared" si="42"/>
        <v>500</v>
      </c>
      <c r="N441" t="str">
        <f t="shared" si="43"/>
        <v>1953-04-19</v>
      </c>
      <c r="O441">
        <f t="shared" si="44"/>
        <v>58</v>
      </c>
      <c r="P441" t="str">
        <f t="shared" si="45"/>
        <v>mężczyzna</v>
      </c>
      <c r="Q441">
        <f t="shared" si="46"/>
        <v>90</v>
      </c>
      <c r="R441">
        <f t="shared" si="47"/>
        <v>48</v>
      </c>
      <c r="S441">
        <f t="shared" ca="1" si="48"/>
        <v>1</v>
      </c>
    </row>
    <row r="442" spans="1:19">
      <c r="A442" s="1" t="s">
        <v>19</v>
      </c>
      <c r="B442" s="2">
        <v>367.31</v>
      </c>
      <c r="C442" s="1">
        <v>367.31</v>
      </c>
      <c r="D442" s="1" t="s">
        <v>1265</v>
      </c>
      <c r="E442" s="1">
        <v>13</v>
      </c>
      <c r="F442" s="3">
        <v>1684</v>
      </c>
      <c r="G442" s="1">
        <v>5</v>
      </c>
      <c r="H442" s="1" t="s">
        <v>1266</v>
      </c>
      <c r="I442" s="1" t="s">
        <v>438</v>
      </c>
      <c r="J442" s="1" t="s">
        <v>16</v>
      </c>
      <c r="K442" s="1" t="s">
        <v>1255</v>
      </c>
      <c r="L442" s="1" t="s">
        <v>1267</v>
      </c>
      <c r="M442">
        <f t="shared" si="42"/>
        <v>367.31</v>
      </c>
      <c r="N442" t="str">
        <f t="shared" si="43"/>
        <v>1950-02-11</v>
      </c>
      <c r="O442">
        <f t="shared" si="44"/>
        <v>61</v>
      </c>
      <c r="P442" t="str">
        <f t="shared" si="45"/>
        <v>kobieta</v>
      </c>
      <c r="Q442">
        <f t="shared" si="46"/>
        <v>21</v>
      </c>
      <c r="R442">
        <f t="shared" si="47"/>
        <v>48</v>
      </c>
      <c r="S442">
        <f t="shared" ca="1" si="48"/>
        <v>21</v>
      </c>
    </row>
    <row r="443" spans="1:19">
      <c r="A443" s="1" t="s">
        <v>19</v>
      </c>
      <c r="B443" s="2">
        <v>700</v>
      </c>
      <c r="C443" s="1">
        <v>700</v>
      </c>
      <c r="D443" s="1" t="s">
        <v>126</v>
      </c>
      <c r="E443" s="1">
        <v>12</v>
      </c>
      <c r="F443" s="3">
        <v>830.46</v>
      </c>
      <c r="G443" s="1">
        <v>4</v>
      </c>
      <c r="H443" s="1" t="s">
        <v>1268</v>
      </c>
      <c r="I443" s="1" t="s">
        <v>128</v>
      </c>
      <c r="J443" s="1" t="s">
        <v>129</v>
      </c>
      <c r="K443" s="1" t="s">
        <v>1255</v>
      </c>
      <c r="L443" s="1" t="s">
        <v>804</v>
      </c>
      <c r="M443">
        <f t="shared" si="42"/>
        <v>700</v>
      </c>
      <c r="N443" t="str">
        <f t="shared" si="43"/>
        <v>1964-04-12</v>
      </c>
      <c r="O443">
        <f t="shared" si="44"/>
        <v>47</v>
      </c>
      <c r="P443" t="str">
        <f t="shared" si="45"/>
        <v>kobieta</v>
      </c>
      <c r="Q443">
        <f t="shared" si="46"/>
        <v>46</v>
      </c>
      <c r="R443">
        <f t="shared" si="47"/>
        <v>25</v>
      </c>
      <c r="S443">
        <f t="shared" ca="1" si="48"/>
        <v>1</v>
      </c>
    </row>
    <row r="444" spans="1:19">
      <c r="A444" s="1" t="s">
        <v>24</v>
      </c>
      <c r="B444" s="2">
        <v>1000</v>
      </c>
      <c r="C444" s="1">
        <v>0</v>
      </c>
      <c r="D444" s="1" t="s">
        <v>1269</v>
      </c>
      <c r="E444" s="1">
        <v>11</v>
      </c>
      <c r="F444" s="3">
        <v>2300</v>
      </c>
      <c r="G444" s="1">
        <v>0</v>
      </c>
      <c r="H444" s="1" t="s">
        <v>1270</v>
      </c>
      <c r="I444" s="1" t="s">
        <v>1271</v>
      </c>
      <c r="J444" s="1" t="s">
        <v>16</v>
      </c>
      <c r="K444" s="1" t="s">
        <v>16</v>
      </c>
      <c r="L444" s="1" t="s">
        <v>28</v>
      </c>
      <c r="M444">
        <f t="shared" si="42"/>
        <v>1000</v>
      </c>
      <c r="N444" t="str">
        <f t="shared" si="43"/>
        <v>1980-10-10</v>
      </c>
      <c r="O444">
        <f t="shared" si="44"/>
        <v>31</v>
      </c>
      <c r="P444" t="str">
        <f t="shared" si="45"/>
        <v>mężczyzna</v>
      </c>
      <c r="Q444">
        <f t="shared" si="46"/>
        <v>51</v>
      </c>
      <c r="R444">
        <f t="shared" si="47"/>
        <v>48</v>
      </c>
      <c r="S444">
        <f t="shared" ca="1" si="48"/>
        <v>0</v>
      </c>
    </row>
    <row r="445" spans="1:19">
      <c r="A445" s="1" t="s">
        <v>19</v>
      </c>
      <c r="B445" s="2">
        <v>200</v>
      </c>
      <c r="C445" s="1">
        <v>200</v>
      </c>
      <c r="D445" s="1" t="s">
        <v>314</v>
      </c>
      <c r="E445" s="1">
        <v>11</v>
      </c>
      <c r="F445" s="3">
        <v>2094.17</v>
      </c>
      <c r="G445" s="1">
        <v>2</v>
      </c>
      <c r="H445" s="1" t="s">
        <v>1272</v>
      </c>
      <c r="I445" s="1" t="s">
        <v>316</v>
      </c>
      <c r="J445" s="1" t="s">
        <v>16</v>
      </c>
      <c r="K445" s="1" t="s">
        <v>1255</v>
      </c>
      <c r="L445" s="1" t="s">
        <v>1150</v>
      </c>
      <c r="M445">
        <f t="shared" si="42"/>
        <v>200</v>
      </c>
      <c r="N445" t="str">
        <f t="shared" si="43"/>
        <v>1958-03-18</v>
      </c>
      <c r="O445">
        <f t="shared" si="44"/>
        <v>53</v>
      </c>
      <c r="P445" t="str">
        <f t="shared" si="45"/>
        <v>mężczyzna</v>
      </c>
      <c r="Q445">
        <f t="shared" si="46"/>
        <v>242</v>
      </c>
      <c r="R445">
        <f t="shared" si="47"/>
        <v>48</v>
      </c>
      <c r="S445">
        <f t="shared" ca="1" si="48"/>
        <v>4</v>
      </c>
    </row>
    <row r="446" spans="1:19">
      <c r="A446" s="1" t="s">
        <v>19</v>
      </c>
      <c r="B446" s="2">
        <v>600</v>
      </c>
      <c r="C446" s="1">
        <v>600</v>
      </c>
      <c r="D446" s="1" t="s">
        <v>409</v>
      </c>
      <c r="E446" s="1">
        <v>13</v>
      </c>
      <c r="F446" s="3">
        <v>1050</v>
      </c>
      <c r="G446" s="1">
        <v>6</v>
      </c>
      <c r="H446" s="1" t="s">
        <v>1273</v>
      </c>
      <c r="I446" s="1" t="s">
        <v>411</v>
      </c>
      <c r="J446" s="1" t="s">
        <v>16</v>
      </c>
      <c r="K446" s="1" t="s">
        <v>1255</v>
      </c>
      <c r="L446" s="1" t="s">
        <v>1111</v>
      </c>
      <c r="M446">
        <f t="shared" si="42"/>
        <v>600</v>
      </c>
      <c r="N446" t="str">
        <f t="shared" si="43"/>
        <v>1950-08-20</v>
      </c>
      <c r="O446">
        <f t="shared" si="44"/>
        <v>61</v>
      </c>
      <c r="P446" t="str">
        <f t="shared" si="45"/>
        <v>kobieta</v>
      </c>
      <c r="Q446">
        <f t="shared" si="46"/>
        <v>140</v>
      </c>
      <c r="R446">
        <f t="shared" si="47"/>
        <v>48</v>
      </c>
      <c r="S446">
        <f t="shared" ca="1" si="48"/>
        <v>0</v>
      </c>
    </row>
    <row r="447" spans="1:19">
      <c r="A447" s="1" t="s">
        <v>12</v>
      </c>
      <c r="B447" s="2">
        <v>1000</v>
      </c>
      <c r="C447" s="1">
        <v>1000</v>
      </c>
      <c r="D447" s="1" t="s">
        <v>326</v>
      </c>
      <c r="E447" s="1">
        <v>13</v>
      </c>
      <c r="F447" s="3">
        <v>1820</v>
      </c>
      <c r="G447" s="1">
        <v>1</v>
      </c>
      <c r="H447" s="1" t="s">
        <v>1274</v>
      </c>
      <c r="I447" s="1" t="s">
        <v>328</v>
      </c>
      <c r="J447" s="1" t="s">
        <v>16</v>
      </c>
      <c r="K447" s="1" t="s">
        <v>1255</v>
      </c>
      <c r="L447" s="1" t="s">
        <v>585</v>
      </c>
      <c r="M447">
        <f t="shared" si="42"/>
        <v>1000</v>
      </c>
      <c r="N447" t="str">
        <f t="shared" si="43"/>
        <v>1950-04-04</v>
      </c>
      <c r="O447">
        <f t="shared" si="44"/>
        <v>61</v>
      </c>
      <c r="P447" t="str">
        <f t="shared" si="45"/>
        <v>kobieta</v>
      </c>
      <c r="Q447">
        <f t="shared" si="46"/>
        <v>70</v>
      </c>
      <c r="R447">
        <f t="shared" si="47"/>
        <v>48</v>
      </c>
      <c r="S447">
        <f t="shared" ca="1" si="48"/>
        <v>0</v>
      </c>
    </row>
    <row r="448" spans="1:19">
      <c r="A448" s="1" t="s">
        <v>12</v>
      </c>
      <c r="B448" s="2">
        <v>400</v>
      </c>
      <c r="C448" s="1">
        <v>400</v>
      </c>
      <c r="D448" s="1" t="s">
        <v>413</v>
      </c>
      <c r="E448" s="1">
        <v>11</v>
      </c>
      <c r="F448" s="3">
        <v>980</v>
      </c>
      <c r="G448" s="1">
        <v>1</v>
      </c>
      <c r="H448" s="1" t="s">
        <v>1275</v>
      </c>
      <c r="I448" s="1" t="s">
        <v>415</v>
      </c>
      <c r="J448" s="1" t="s">
        <v>16</v>
      </c>
      <c r="K448" s="1" t="s">
        <v>1255</v>
      </c>
      <c r="L448" s="1" t="s">
        <v>565</v>
      </c>
      <c r="M448">
        <f t="shared" si="42"/>
        <v>400</v>
      </c>
      <c r="N448" t="str">
        <f t="shared" si="43"/>
        <v>1963-05-22</v>
      </c>
      <c r="O448">
        <f t="shared" si="44"/>
        <v>48</v>
      </c>
      <c r="P448" t="str">
        <f t="shared" si="45"/>
        <v>kobieta</v>
      </c>
      <c r="Q448">
        <f t="shared" si="46"/>
        <v>201</v>
      </c>
      <c r="R448">
        <f t="shared" si="47"/>
        <v>48</v>
      </c>
      <c r="S448">
        <f t="shared" ca="1" si="48"/>
        <v>0</v>
      </c>
    </row>
    <row r="449" spans="1:19">
      <c r="A449" s="1" t="s">
        <v>19</v>
      </c>
      <c r="B449" s="2">
        <v>200</v>
      </c>
      <c r="C449" s="1">
        <v>200</v>
      </c>
      <c r="D449" s="1" t="s">
        <v>228</v>
      </c>
      <c r="E449" s="1">
        <v>13</v>
      </c>
      <c r="F449" s="3">
        <v>12220</v>
      </c>
      <c r="G449" s="1">
        <v>4</v>
      </c>
      <c r="H449" s="1" t="s">
        <v>1276</v>
      </c>
      <c r="I449" s="1" t="s">
        <v>230</v>
      </c>
      <c r="J449" s="1" t="s">
        <v>16</v>
      </c>
      <c r="K449" s="1" t="s">
        <v>1255</v>
      </c>
      <c r="L449" s="1" t="s">
        <v>1103</v>
      </c>
      <c r="M449">
        <f t="shared" si="42"/>
        <v>200</v>
      </c>
      <c r="N449" t="str">
        <f t="shared" si="43"/>
        <v>1954-02-20</v>
      </c>
      <c r="O449">
        <f t="shared" si="44"/>
        <v>57</v>
      </c>
      <c r="P449" t="str">
        <f t="shared" si="45"/>
        <v>mężczyzna</v>
      </c>
      <c r="Q449">
        <f t="shared" si="46"/>
        <v>72</v>
      </c>
      <c r="R449">
        <f t="shared" si="47"/>
        <v>48</v>
      </c>
      <c r="S449">
        <f t="shared" ca="1" si="48"/>
        <v>8</v>
      </c>
    </row>
    <row r="450" spans="1:19">
      <c r="A450" s="1" t="s">
        <v>19</v>
      </c>
      <c r="B450" s="2">
        <v>345.97</v>
      </c>
      <c r="C450" s="1">
        <v>345.97</v>
      </c>
      <c r="D450" s="1" t="s">
        <v>369</v>
      </c>
      <c r="E450" s="1">
        <v>11</v>
      </c>
      <c r="F450" s="3">
        <v>1721.7</v>
      </c>
      <c r="G450" s="1">
        <v>6</v>
      </c>
      <c r="H450" s="1" t="s">
        <v>1277</v>
      </c>
      <c r="I450" s="1" t="s">
        <v>371</v>
      </c>
      <c r="J450" s="1" t="s">
        <v>16</v>
      </c>
      <c r="K450" s="1" t="s">
        <v>1255</v>
      </c>
      <c r="L450" s="1" t="s">
        <v>1055</v>
      </c>
      <c r="M450">
        <f t="shared" si="42"/>
        <v>345.97</v>
      </c>
      <c r="N450" t="str">
        <f t="shared" si="43"/>
        <v>1957-03-19</v>
      </c>
      <c r="O450">
        <f t="shared" si="44"/>
        <v>54</v>
      </c>
      <c r="P450" t="str">
        <f t="shared" si="45"/>
        <v>kobieta</v>
      </c>
      <c r="Q450">
        <f t="shared" si="46"/>
        <v>121</v>
      </c>
      <c r="R450">
        <f t="shared" si="47"/>
        <v>48</v>
      </c>
      <c r="S450">
        <f t="shared" ca="1" si="48"/>
        <v>2</v>
      </c>
    </row>
    <row r="451" spans="1:19">
      <c r="A451" s="1" t="s">
        <v>19</v>
      </c>
      <c r="B451" s="2">
        <v>250</v>
      </c>
      <c r="C451" s="1">
        <v>250</v>
      </c>
      <c r="D451" s="1" t="s">
        <v>193</v>
      </c>
      <c r="E451" s="1">
        <v>11</v>
      </c>
      <c r="F451" s="3">
        <v>1700</v>
      </c>
      <c r="G451" s="1">
        <v>5</v>
      </c>
      <c r="H451" s="1" t="s">
        <v>1278</v>
      </c>
      <c r="I451" s="1" t="s">
        <v>195</v>
      </c>
      <c r="J451" s="1" t="s">
        <v>16</v>
      </c>
      <c r="K451" s="1" t="s">
        <v>1279</v>
      </c>
      <c r="L451" s="1" t="s">
        <v>1150</v>
      </c>
      <c r="M451">
        <f t="shared" ref="M451:M514" si="49">IF(A451="odmowa", B451,C451)</f>
        <v>250</v>
      </c>
      <c r="N451" t="str">
        <f t="shared" ref="N451:N514" si="50">CONCATENATE("19", MID(D451, 1, 2), "-", MID(D451, 3, 2), "-", MID(D451, 5, 2))</f>
        <v>1960-01-08</v>
      </c>
      <c r="O451">
        <f t="shared" ref="O451:O514" si="51">YEAR(H451) - YEAR(N451)</f>
        <v>51</v>
      </c>
      <c r="P451" t="str">
        <f t="shared" ref="P451:P514" si="52">IF(MOD(MID(D451, 10, 1), 2)=0, "kobieta", "mężczyzna")</f>
        <v>kobieta</v>
      </c>
      <c r="Q451">
        <f t="shared" ref="Q451:Q514" si="53">(YEAR(H451) - YEAR(I451)) * 12 + MONTH(H451) - MONTH(I451)</f>
        <v>307</v>
      </c>
      <c r="R451">
        <f t="shared" ref="R451:R514" si="54">IF(LEFT(J451, 4)="0000", 48, MIN(48, (YEAR(J451) - YEAR(H451)) * 12 + MONTH(J451) - MONTH(H451)))</f>
        <v>48</v>
      </c>
      <c r="S451">
        <f t="shared" ref="S451:S514" ca="1" si="55">IF(LEFT(K451, 4)="0000", 0, IF(LEFT(L451, 4)="0000", MAX(0, TODAY() - K451), MAX(0, L451 - K451)))</f>
        <v>2</v>
      </c>
    </row>
    <row r="452" spans="1:19">
      <c r="A452" s="1" t="s">
        <v>309</v>
      </c>
      <c r="B452" s="2">
        <v>200</v>
      </c>
      <c r="C452" s="1">
        <v>200</v>
      </c>
      <c r="D452" s="1" t="s">
        <v>451</v>
      </c>
      <c r="E452" s="1">
        <v>16</v>
      </c>
      <c r="F452" s="3">
        <v>1600</v>
      </c>
      <c r="G452" s="1">
        <v>2</v>
      </c>
      <c r="H452" s="1" t="s">
        <v>1280</v>
      </c>
      <c r="I452" s="1" t="s">
        <v>453</v>
      </c>
      <c r="J452" s="1" t="s">
        <v>16</v>
      </c>
      <c r="K452" s="1" t="s">
        <v>1279</v>
      </c>
      <c r="L452" s="1" t="s">
        <v>1281</v>
      </c>
      <c r="M452">
        <f t="shared" si="49"/>
        <v>200</v>
      </c>
      <c r="N452" t="str">
        <f t="shared" si="50"/>
        <v>1948-04-02</v>
      </c>
      <c r="O452">
        <f t="shared" si="51"/>
        <v>63</v>
      </c>
      <c r="P452" t="str">
        <f t="shared" si="52"/>
        <v>kobieta</v>
      </c>
      <c r="Q452">
        <f t="shared" si="53"/>
        <v>25</v>
      </c>
      <c r="R452">
        <f t="shared" si="54"/>
        <v>48</v>
      </c>
      <c r="S452">
        <f t="shared" ca="1" si="55"/>
        <v>323</v>
      </c>
    </row>
    <row r="453" spans="1:19">
      <c r="A453" s="1" t="s">
        <v>19</v>
      </c>
      <c r="B453" s="2">
        <v>200</v>
      </c>
      <c r="C453" s="1">
        <v>200</v>
      </c>
      <c r="D453" s="1" t="s">
        <v>407</v>
      </c>
      <c r="E453" s="1">
        <v>13</v>
      </c>
      <c r="F453" s="3">
        <v>785</v>
      </c>
      <c r="G453" s="1">
        <v>2</v>
      </c>
      <c r="H453" s="1" t="s">
        <v>1282</v>
      </c>
      <c r="I453" s="1" t="s">
        <v>266</v>
      </c>
      <c r="J453" s="1" t="s">
        <v>16</v>
      </c>
      <c r="K453" s="1" t="s">
        <v>1279</v>
      </c>
      <c r="L453" s="1" t="s">
        <v>804</v>
      </c>
      <c r="M453">
        <f t="shared" si="49"/>
        <v>200</v>
      </c>
      <c r="N453" t="str">
        <f t="shared" si="50"/>
        <v>1939-11-08</v>
      </c>
      <c r="O453">
        <f t="shared" si="51"/>
        <v>72</v>
      </c>
      <c r="P453" t="str">
        <f t="shared" si="52"/>
        <v>kobieta</v>
      </c>
      <c r="Q453">
        <f t="shared" si="53"/>
        <v>65</v>
      </c>
      <c r="R453">
        <f t="shared" si="54"/>
        <v>48</v>
      </c>
      <c r="S453">
        <f t="shared" ca="1" si="55"/>
        <v>0</v>
      </c>
    </row>
    <row r="454" spans="1:19">
      <c r="A454" s="1" t="s">
        <v>24</v>
      </c>
      <c r="B454" s="2">
        <v>400</v>
      </c>
      <c r="C454" s="1">
        <v>0</v>
      </c>
      <c r="D454" s="1" t="s">
        <v>1283</v>
      </c>
      <c r="E454" s="1">
        <v>12</v>
      </c>
      <c r="F454" s="3">
        <v>1030</v>
      </c>
      <c r="G454" s="1">
        <v>0</v>
      </c>
      <c r="H454" s="1" t="s">
        <v>1284</v>
      </c>
      <c r="I454" s="1" t="s">
        <v>577</v>
      </c>
      <c r="J454" s="1" t="s">
        <v>162</v>
      </c>
      <c r="K454" s="1" t="s">
        <v>16</v>
      </c>
      <c r="L454" s="1" t="s">
        <v>28</v>
      </c>
      <c r="M454">
        <f t="shared" si="49"/>
        <v>400</v>
      </c>
      <c r="N454" t="str">
        <f t="shared" si="50"/>
        <v>1985-04-05</v>
      </c>
      <c r="O454">
        <f t="shared" si="51"/>
        <v>26</v>
      </c>
      <c r="P454" t="str">
        <f t="shared" si="52"/>
        <v>kobieta</v>
      </c>
      <c r="Q454">
        <f t="shared" si="53"/>
        <v>29</v>
      </c>
      <c r="R454">
        <f t="shared" si="54"/>
        <v>6</v>
      </c>
      <c r="S454">
        <f t="shared" ca="1" si="55"/>
        <v>0</v>
      </c>
    </row>
    <row r="455" spans="1:19">
      <c r="A455" s="1" t="s">
        <v>19</v>
      </c>
      <c r="B455" s="2">
        <v>500</v>
      </c>
      <c r="C455" s="1">
        <v>500</v>
      </c>
      <c r="D455" s="1" t="s">
        <v>1285</v>
      </c>
      <c r="E455" s="1">
        <v>13</v>
      </c>
      <c r="F455" s="3">
        <v>820</v>
      </c>
      <c r="G455" s="1">
        <v>0</v>
      </c>
      <c r="H455" s="1" t="s">
        <v>1286</v>
      </c>
      <c r="I455" s="1" t="s">
        <v>1287</v>
      </c>
      <c r="J455" s="1" t="s">
        <v>16</v>
      </c>
      <c r="K455" s="1" t="s">
        <v>1279</v>
      </c>
      <c r="L455" s="1" t="s">
        <v>1055</v>
      </c>
      <c r="M455">
        <f t="shared" si="49"/>
        <v>500</v>
      </c>
      <c r="N455" t="str">
        <f t="shared" si="50"/>
        <v>1949-08-07</v>
      </c>
      <c r="O455">
        <f t="shared" si="51"/>
        <v>62</v>
      </c>
      <c r="P455" t="str">
        <f t="shared" si="52"/>
        <v>kobieta</v>
      </c>
      <c r="Q455">
        <f t="shared" si="53"/>
        <v>32</v>
      </c>
      <c r="R455">
        <f t="shared" si="54"/>
        <v>48</v>
      </c>
      <c r="S455">
        <f t="shared" ca="1" si="55"/>
        <v>0</v>
      </c>
    </row>
    <row r="456" spans="1:19">
      <c r="A456" s="1" t="s">
        <v>19</v>
      </c>
      <c r="B456" s="2">
        <v>300</v>
      </c>
      <c r="C456" s="1">
        <v>300</v>
      </c>
      <c r="D456" s="1" t="s">
        <v>502</v>
      </c>
      <c r="E456" s="1">
        <v>13</v>
      </c>
      <c r="F456" s="3">
        <v>1442.43</v>
      </c>
      <c r="G456" s="1">
        <v>1</v>
      </c>
      <c r="H456" s="1" t="s">
        <v>1288</v>
      </c>
      <c r="I456" s="1" t="s">
        <v>356</v>
      </c>
      <c r="J456" s="1" t="s">
        <v>16</v>
      </c>
      <c r="K456" s="1" t="s">
        <v>1279</v>
      </c>
      <c r="L456" s="1" t="s">
        <v>804</v>
      </c>
      <c r="M456">
        <f t="shared" si="49"/>
        <v>300</v>
      </c>
      <c r="N456" t="str">
        <f t="shared" si="50"/>
        <v>1932-02-07</v>
      </c>
      <c r="O456">
        <f t="shared" si="51"/>
        <v>79</v>
      </c>
      <c r="P456" t="str">
        <f t="shared" si="52"/>
        <v>kobieta</v>
      </c>
      <c r="Q456">
        <f t="shared" si="53"/>
        <v>142</v>
      </c>
      <c r="R456">
        <f t="shared" si="54"/>
        <v>48</v>
      </c>
      <c r="S456">
        <f t="shared" ca="1" si="55"/>
        <v>0</v>
      </c>
    </row>
    <row r="457" spans="1:19">
      <c r="A457" s="1" t="s">
        <v>19</v>
      </c>
      <c r="B457" s="2">
        <v>200</v>
      </c>
      <c r="C457" s="1">
        <v>200</v>
      </c>
      <c r="D457" s="1" t="s">
        <v>1289</v>
      </c>
      <c r="E457" s="1">
        <v>13</v>
      </c>
      <c r="F457" s="3">
        <v>1611</v>
      </c>
      <c r="G457" s="1">
        <v>0</v>
      </c>
      <c r="H457" s="1" t="s">
        <v>1290</v>
      </c>
      <c r="I457" s="1" t="s">
        <v>356</v>
      </c>
      <c r="J457" s="1" t="s">
        <v>16</v>
      </c>
      <c r="K457" s="1" t="s">
        <v>1279</v>
      </c>
      <c r="L457" s="1" t="s">
        <v>1154</v>
      </c>
      <c r="M457">
        <f t="shared" si="49"/>
        <v>200</v>
      </c>
      <c r="N457" t="str">
        <f t="shared" si="50"/>
        <v>1946-08-03</v>
      </c>
      <c r="O457">
        <f t="shared" si="51"/>
        <v>65</v>
      </c>
      <c r="P457" t="str">
        <f t="shared" si="52"/>
        <v>mężczyzna</v>
      </c>
      <c r="Q457">
        <f t="shared" si="53"/>
        <v>142</v>
      </c>
      <c r="R457">
        <f t="shared" si="54"/>
        <v>48</v>
      </c>
      <c r="S457">
        <f t="shared" ca="1" si="55"/>
        <v>1</v>
      </c>
    </row>
    <row r="458" spans="1:19">
      <c r="A458" s="1" t="s">
        <v>19</v>
      </c>
      <c r="B458" s="2">
        <v>290</v>
      </c>
      <c r="C458" s="1">
        <v>290</v>
      </c>
      <c r="D458" s="1" t="s">
        <v>433</v>
      </c>
      <c r="E458" s="1">
        <v>13</v>
      </c>
      <c r="F458" s="3">
        <v>1280</v>
      </c>
      <c r="G458" s="1">
        <v>6</v>
      </c>
      <c r="H458" s="1" t="s">
        <v>1291</v>
      </c>
      <c r="I458" s="1" t="s">
        <v>435</v>
      </c>
      <c r="J458" s="1" t="s">
        <v>16</v>
      </c>
      <c r="K458" s="1" t="s">
        <v>1279</v>
      </c>
      <c r="L458" s="1" t="s">
        <v>1154</v>
      </c>
      <c r="M458">
        <f t="shared" si="49"/>
        <v>290</v>
      </c>
      <c r="N458" t="str">
        <f t="shared" si="50"/>
        <v>1950-08-05</v>
      </c>
      <c r="O458">
        <f t="shared" si="51"/>
        <v>61</v>
      </c>
      <c r="P458" t="str">
        <f t="shared" si="52"/>
        <v>kobieta</v>
      </c>
      <c r="Q458">
        <f t="shared" si="53"/>
        <v>18</v>
      </c>
      <c r="R458">
        <f t="shared" si="54"/>
        <v>48</v>
      </c>
      <c r="S458">
        <f t="shared" ca="1" si="55"/>
        <v>1</v>
      </c>
    </row>
    <row r="459" spans="1:19">
      <c r="A459" s="1" t="s">
        <v>19</v>
      </c>
      <c r="B459" s="2">
        <v>300</v>
      </c>
      <c r="C459" s="1">
        <v>300</v>
      </c>
      <c r="D459" s="1" t="s">
        <v>446</v>
      </c>
      <c r="E459" s="1">
        <v>11</v>
      </c>
      <c r="F459" s="3">
        <v>2100</v>
      </c>
      <c r="G459" s="1">
        <v>1</v>
      </c>
      <c r="H459" s="1" t="s">
        <v>1292</v>
      </c>
      <c r="I459" s="1" t="s">
        <v>448</v>
      </c>
      <c r="J459" s="1" t="s">
        <v>16</v>
      </c>
      <c r="K459" s="1" t="s">
        <v>1279</v>
      </c>
      <c r="L459" s="1" t="s">
        <v>1150</v>
      </c>
      <c r="M459">
        <f t="shared" si="49"/>
        <v>300</v>
      </c>
      <c r="N459" t="str">
        <f t="shared" si="50"/>
        <v>1966-01-30</v>
      </c>
      <c r="O459">
        <f t="shared" si="51"/>
        <v>45</v>
      </c>
      <c r="P459" t="str">
        <f t="shared" si="52"/>
        <v>mężczyzna</v>
      </c>
      <c r="Q459">
        <f t="shared" si="53"/>
        <v>51</v>
      </c>
      <c r="R459">
        <f t="shared" si="54"/>
        <v>48</v>
      </c>
      <c r="S459">
        <f t="shared" ca="1" si="55"/>
        <v>2</v>
      </c>
    </row>
    <row r="460" spans="1:19">
      <c r="A460" s="1" t="s">
        <v>19</v>
      </c>
      <c r="B460" s="2">
        <v>400</v>
      </c>
      <c r="C460" s="1">
        <v>400</v>
      </c>
      <c r="D460" s="1" t="s">
        <v>343</v>
      </c>
      <c r="E460" s="1">
        <v>13</v>
      </c>
      <c r="F460" s="3">
        <v>850</v>
      </c>
      <c r="G460" s="1">
        <v>5</v>
      </c>
      <c r="H460" s="1" t="s">
        <v>1293</v>
      </c>
      <c r="I460" s="1" t="s">
        <v>345</v>
      </c>
      <c r="J460" s="1" t="s">
        <v>16</v>
      </c>
      <c r="K460" s="1" t="s">
        <v>1279</v>
      </c>
      <c r="L460" s="1" t="s">
        <v>1150</v>
      </c>
      <c r="M460">
        <f t="shared" si="49"/>
        <v>400</v>
      </c>
      <c r="N460" t="str">
        <f t="shared" si="50"/>
        <v>1945-10-21</v>
      </c>
      <c r="O460">
        <f t="shared" si="51"/>
        <v>66</v>
      </c>
      <c r="P460" t="str">
        <f t="shared" si="52"/>
        <v>kobieta</v>
      </c>
      <c r="Q460">
        <f t="shared" si="53"/>
        <v>68</v>
      </c>
      <c r="R460">
        <f t="shared" si="54"/>
        <v>48</v>
      </c>
      <c r="S460">
        <f t="shared" ca="1" si="55"/>
        <v>2</v>
      </c>
    </row>
    <row r="461" spans="1:19">
      <c r="A461" s="1" t="s">
        <v>12</v>
      </c>
      <c r="B461" s="2">
        <v>400</v>
      </c>
      <c r="C461" s="1">
        <v>400</v>
      </c>
      <c r="D461" s="1" t="s">
        <v>384</v>
      </c>
      <c r="E461" s="1">
        <v>13</v>
      </c>
      <c r="F461" s="3">
        <v>3900</v>
      </c>
      <c r="G461" s="1">
        <v>1</v>
      </c>
      <c r="H461" s="1" t="s">
        <v>1294</v>
      </c>
      <c r="I461" s="1" t="s">
        <v>386</v>
      </c>
      <c r="J461" s="1" t="s">
        <v>16</v>
      </c>
      <c r="K461" s="1" t="s">
        <v>1279</v>
      </c>
      <c r="L461" s="1" t="s">
        <v>1154</v>
      </c>
      <c r="M461">
        <f t="shared" si="49"/>
        <v>400</v>
      </c>
      <c r="N461" t="str">
        <f t="shared" si="50"/>
        <v>1952-08-15</v>
      </c>
      <c r="O461">
        <f t="shared" si="51"/>
        <v>59</v>
      </c>
      <c r="P461" t="str">
        <f t="shared" si="52"/>
        <v>mężczyzna</v>
      </c>
      <c r="Q461">
        <f t="shared" si="53"/>
        <v>115</v>
      </c>
      <c r="R461">
        <f t="shared" si="54"/>
        <v>48</v>
      </c>
      <c r="S461">
        <f t="shared" ca="1" si="55"/>
        <v>1</v>
      </c>
    </row>
    <row r="462" spans="1:19">
      <c r="A462" s="1" t="s">
        <v>12</v>
      </c>
      <c r="B462" s="2">
        <v>200</v>
      </c>
      <c r="C462" s="1">
        <v>200</v>
      </c>
      <c r="D462" s="1" t="s">
        <v>249</v>
      </c>
      <c r="E462" s="1">
        <v>17</v>
      </c>
      <c r="F462" s="3">
        <v>1200</v>
      </c>
      <c r="G462" s="1">
        <v>6</v>
      </c>
      <c r="H462" s="1" t="s">
        <v>1295</v>
      </c>
      <c r="I462" s="1" t="s">
        <v>251</v>
      </c>
      <c r="J462" s="1" t="s">
        <v>252</v>
      </c>
      <c r="K462" s="1" t="s">
        <v>1279</v>
      </c>
      <c r="L462" s="1" t="s">
        <v>1111</v>
      </c>
      <c r="M462">
        <f t="shared" si="49"/>
        <v>200</v>
      </c>
      <c r="N462" t="str">
        <f t="shared" si="50"/>
        <v>1986-10-25</v>
      </c>
      <c r="O462">
        <f t="shared" si="51"/>
        <v>25</v>
      </c>
      <c r="P462" t="str">
        <f t="shared" si="52"/>
        <v>kobieta</v>
      </c>
      <c r="Q462">
        <f t="shared" si="53"/>
        <v>166</v>
      </c>
      <c r="R462">
        <f t="shared" si="54"/>
        <v>14</v>
      </c>
      <c r="S462">
        <f t="shared" ca="1" si="55"/>
        <v>0</v>
      </c>
    </row>
    <row r="463" spans="1:19">
      <c r="A463" s="1" t="s">
        <v>12</v>
      </c>
      <c r="B463" s="2">
        <v>490</v>
      </c>
      <c r="C463" s="1">
        <v>490</v>
      </c>
      <c r="D463" s="1" t="s">
        <v>264</v>
      </c>
      <c r="E463" s="1">
        <v>11</v>
      </c>
      <c r="F463" s="3">
        <v>2700</v>
      </c>
      <c r="G463" s="1">
        <v>1</v>
      </c>
      <c r="H463" s="1" t="s">
        <v>1296</v>
      </c>
      <c r="I463" s="1" t="s">
        <v>266</v>
      </c>
      <c r="J463" s="1" t="s">
        <v>16</v>
      </c>
      <c r="K463" s="1" t="s">
        <v>1279</v>
      </c>
      <c r="L463" s="1" t="s">
        <v>1154</v>
      </c>
      <c r="M463">
        <f t="shared" si="49"/>
        <v>490</v>
      </c>
      <c r="N463" t="str">
        <f t="shared" si="50"/>
        <v>1981-01-05</v>
      </c>
      <c r="O463">
        <f t="shared" si="51"/>
        <v>30</v>
      </c>
      <c r="P463" t="str">
        <f t="shared" si="52"/>
        <v>mężczyzna</v>
      </c>
      <c r="Q463">
        <f t="shared" si="53"/>
        <v>65</v>
      </c>
      <c r="R463">
        <f t="shared" si="54"/>
        <v>48</v>
      </c>
      <c r="S463">
        <f t="shared" ca="1" si="55"/>
        <v>1</v>
      </c>
    </row>
    <row r="464" spans="1:19">
      <c r="A464" s="1" t="s">
        <v>24</v>
      </c>
      <c r="B464" s="2">
        <v>200</v>
      </c>
      <c r="C464" s="1">
        <v>0</v>
      </c>
      <c r="D464" s="1" t="s">
        <v>1297</v>
      </c>
      <c r="E464" s="1">
        <v>13</v>
      </c>
      <c r="F464" s="3">
        <v>2125.11</v>
      </c>
      <c r="G464" s="1">
        <v>0</v>
      </c>
      <c r="H464" s="1" t="s">
        <v>1298</v>
      </c>
      <c r="I464" s="1" t="s">
        <v>356</v>
      </c>
      <c r="J464" s="1" t="s">
        <v>16</v>
      </c>
      <c r="K464" s="1" t="s">
        <v>16</v>
      </c>
      <c r="L464" s="1" t="s">
        <v>28</v>
      </c>
      <c r="M464">
        <f t="shared" si="49"/>
        <v>200</v>
      </c>
      <c r="N464" t="str">
        <f t="shared" si="50"/>
        <v>1939-09-15</v>
      </c>
      <c r="O464">
        <f t="shared" si="51"/>
        <v>72</v>
      </c>
      <c r="P464" t="str">
        <f t="shared" si="52"/>
        <v>kobieta</v>
      </c>
      <c r="Q464">
        <f t="shared" si="53"/>
        <v>142</v>
      </c>
      <c r="R464">
        <f t="shared" si="54"/>
        <v>48</v>
      </c>
      <c r="S464">
        <f t="shared" ca="1" si="55"/>
        <v>0</v>
      </c>
    </row>
    <row r="465" spans="1:19">
      <c r="A465" s="1" t="s">
        <v>19</v>
      </c>
      <c r="B465" s="2">
        <v>700</v>
      </c>
      <c r="C465" s="1">
        <v>700</v>
      </c>
      <c r="D465" s="1" t="s">
        <v>1299</v>
      </c>
      <c r="E465" s="1">
        <v>13</v>
      </c>
      <c r="F465" s="3">
        <v>3600</v>
      </c>
      <c r="G465" s="1">
        <v>0</v>
      </c>
      <c r="H465" s="1" t="s">
        <v>1300</v>
      </c>
      <c r="I465" s="1" t="s">
        <v>1301</v>
      </c>
      <c r="J465" s="1" t="s">
        <v>16</v>
      </c>
      <c r="K465" s="1" t="s">
        <v>746</v>
      </c>
      <c r="L465" s="1" t="s">
        <v>1154</v>
      </c>
      <c r="M465">
        <f t="shared" si="49"/>
        <v>700</v>
      </c>
      <c r="N465" t="str">
        <f t="shared" si="50"/>
        <v>1954-07-09</v>
      </c>
      <c r="O465">
        <f t="shared" si="51"/>
        <v>57</v>
      </c>
      <c r="P465" t="str">
        <f t="shared" si="52"/>
        <v>mężczyzna</v>
      </c>
      <c r="Q465">
        <f t="shared" si="53"/>
        <v>87</v>
      </c>
      <c r="R465">
        <f t="shared" si="54"/>
        <v>48</v>
      </c>
      <c r="S465">
        <f t="shared" ca="1" si="55"/>
        <v>0</v>
      </c>
    </row>
    <row r="466" spans="1:19">
      <c r="A466" s="1" t="s">
        <v>19</v>
      </c>
      <c r="B466" s="2">
        <v>200</v>
      </c>
      <c r="C466" s="1">
        <v>200</v>
      </c>
      <c r="D466" s="1" t="s">
        <v>305</v>
      </c>
      <c r="E466" s="1">
        <v>12</v>
      </c>
      <c r="F466" s="3">
        <v>1100</v>
      </c>
      <c r="G466" s="1">
        <v>2</v>
      </c>
      <c r="H466" s="1" t="s">
        <v>1302</v>
      </c>
      <c r="I466" s="1" t="s">
        <v>307</v>
      </c>
      <c r="J466" s="1" t="s">
        <v>63</v>
      </c>
      <c r="K466" s="1" t="s">
        <v>746</v>
      </c>
      <c r="L466" s="1" t="s">
        <v>804</v>
      </c>
      <c r="M466">
        <f t="shared" si="49"/>
        <v>200</v>
      </c>
      <c r="N466" t="str">
        <f t="shared" si="50"/>
        <v>1985-05-07</v>
      </c>
      <c r="O466">
        <f t="shared" si="51"/>
        <v>26</v>
      </c>
      <c r="P466" t="str">
        <f t="shared" si="52"/>
        <v>kobieta</v>
      </c>
      <c r="Q466">
        <f t="shared" si="53"/>
        <v>16</v>
      </c>
      <c r="R466">
        <f t="shared" si="54"/>
        <v>1</v>
      </c>
      <c r="S466">
        <f t="shared" ca="1" si="55"/>
        <v>0</v>
      </c>
    </row>
    <row r="467" spans="1:19">
      <c r="A467" s="1" t="s">
        <v>19</v>
      </c>
      <c r="B467" s="2">
        <v>350</v>
      </c>
      <c r="C467" s="1">
        <v>200</v>
      </c>
      <c r="D467" s="1" t="s">
        <v>752</v>
      </c>
      <c r="E467" s="1">
        <v>12</v>
      </c>
      <c r="F467" s="3">
        <v>1400</v>
      </c>
      <c r="G467" s="1">
        <v>0</v>
      </c>
      <c r="H467" s="1" t="s">
        <v>1303</v>
      </c>
      <c r="I467" s="1" t="s">
        <v>754</v>
      </c>
      <c r="J467" s="1" t="s">
        <v>755</v>
      </c>
      <c r="K467" s="1" t="s">
        <v>746</v>
      </c>
      <c r="L467" s="1" t="s">
        <v>804</v>
      </c>
      <c r="M467">
        <f t="shared" si="49"/>
        <v>200</v>
      </c>
      <c r="N467" t="str">
        <f t="shared" si="50"/>
        <v>1984-07-22</v>
      </c>
      <c r="O467">
        <f t="shared" si="51"/>
        <v>27</v>
      </c>
      <c r="P467" t="str">
        <f t="shared" si="52"/>
        <v>mężczyzna</v>
      </c>
      <c r="Q467">
        <f t="shared" si="53"/>
        <v>2</v>
      </c>
      <c r="R467">
        <f t="shared" si="54"/>
        <v>1</v>
      </c>
      <c r="S467">
        <f t="shared" ca="1" si="55"/>
        <v>0</v>
      </c>
    </row>
    <row r="468" spans="1:19">
      <c r="A468" s="1" t="s">
        <v>19</v>
      </c>
      <c r="B468" s="2">
        <v>1000</v>
      </c>
      <c r="C468" s="1">
        <v>500</v>
      </c>
      <c r="D468" s="1" t="s">
        <v>1304</v>
      </c>
      <c r="E468" s="1">
        <v>13</v>
      </c>
      <c r="F468" s="3">
        <v>1500</v>
      </c>
      <c r="G468" s="1">
        <v>0</v>
      </c>
      <c r="H468" s="1" t="s">
        <v>1305</v>
      </c>
      <c r="I468" s="1" t="s">
        <v>1306</v>
      </c>
      <c r="J468" s="1" t="s">
        <v>16</v>
      </c>
      <c r="K468" s="1" t="s">
        <v>746</v>
      </c>
      <c r="L468" s="1" t="s">
        <v>1055</v>
      </c>
      <c r="M468">
        <f t="shared" si="49"/>
        <v>500</v>
      </c>
      <c r="N468" t="str">
        <f t="shared" si="50"/>
        <v>1964-11-11</v>
      </c>
      <c r="O468">
        <f t="shared" si="51"/>
        <v>47</v>
      </c>
      <c r="P468" t="str">
        <f t="shared" si="52"/>
        <v>mężczyzna</v>
      </c>
      <c r="Q468">
        <f t="shared" si="53"/>
        <v>87</v>
      </c>
      <c r="R468">
        <f t="shared" si="54"/>
        <v>48</v>
      </c>
      <c r="S468">
        <f t="shared" ca="1" si="55"/>
        <v>0</v>
      </c>
    </row>
    <row r="469" spans="1:19">
      <c r="A469" s="1" t="s">
        <v>12</v>
      </c>
      <c r="B469" s="2">
        <v>600</v>
      </c>
      <c r="C469" s="1">
        <v>500</v>
      </c>
      <c r="D469" s="1" t="s">
        <v>1307</v>
      </c>
      <c r="E469" s="1">
        <v>13</v>
      </c>
      <c r="F469" s="3">
        <v>1883.53</v>
      </c>
      <c r="G469" s="1">
        <v>0</v>
      </c>
      <c r="H469" s="1" t="s">
        <v>1308</v>
      </c>
      <c r="I469" s="1" t="s">
        <v>1309</v>
      </c>
      <c r="J469" s="1" t="s">
        <v>16</v>
      </c>
      <c r="K469" s="1" t="s">
        <v>746</v>
      </c>
      <c r="L469" s="1" t="s">
        <v>1055</v>
      </c>
      <c r="M469">
        <f t="shared" si="49"/>
        <v>500</v>
      </c>
      <c r="N469" t="str">
        <f t="shared" si="50"/>
        <v>1953-06-25</v>
      </c>
      <c r="O469">
        <f t="shared" si="51"/>
        <v>58</v>
      </c>
      <c r="P469" t="str">
        <f t="shared" si="52"/>
        <v>kobieta</v>
      </c>
      <c r="Q469">
        <f t="shared" si="53"/>
        <v>48</v>
      </c>
      <c r="R469">
        <f t="shared" si="54"/>
        <v>48</v>
      </c>
      <c r="S469">
        <f t="shared" ca="1" si="55"/>
        <v>0</v>
      </c>
    </row>
    <row r="470" spans="1:19">
      <c r="A470" s="1" t="s">
        <v>12</v>
      </c>
      <c r="B470" s="2">
        <v>500</v>
      </c>
      <c r="C470" s="1">
        <v>500</v>
      </c>
      <c r="D470" s="1" t="s">
        <v>159</v>
      </c>
      <c r="E470" s="1">
        <v>12</v>
      </c>
      <c r="F470" s="3">
        <v>1952.35</v>
      </c>
      <c r="G470" s="1">
        <v>1</v>
      </c>
      <c r="H470" s="1" t="s">
        <v>1310</v>
      </c>
      <c r="I470" s="1" t="s">
        <v>161</v>
      </c>
      <c r="J470" s="1" t="s">
        <v>162</v>
      </c>
      <c r="K470" s="1" t="s">
        <v>746</v>
      </c>
      <c r="L470" s="1" t="s">
        <v>1103</v>
      </c>
      <c r="M470">
        <f t="shared" si="49"/>
        <v>500</v>
      </c>
      <c r="N470" t="str">
        <f t="shared" si="50"/>
        <v>1967-10-17</v>
      </c>
      <c r="O470">
        <f t="shared" si="51"/>
        <v>44</v>
      </c>
      <c r="P470" t="str">
        <f t="shared" si="52"/>
        <v>mężczyzna</v>
      </c>
      <c r="Q470">
        <f t="shared" si="53"/>
        <v>5</v>
      </c>
      <c r="R470">
        <f t="shared" si="54"/>
        <v>6</v>
      </c>
      <c r="S470">
        <f t="shared" ca="1" si="55"/>
        <v>5</v>
      </c>
    </row>
    <row r="471" spans="1:19">
      <c r="A471" s="1" t="s">
        <v>56</v>
      </c>
      <c r="B471" s="2">
        <v>200</v>
      </c>
      <c r="C471" s="1">
        <v>200</v>
      </c>
      <c r="D471" s="1" t="s">
        <v>346</v>
      </c>
      <c r="E471" s="1">
        <v>99</v>
      </c>
      <c r="F471" s="3">
        <v>1393.85</v>
      </c>
      <c r="G471" s="1">
        <v>4</v>
      </c>
      <c r="H471" s="1" t="s">
        <v>1311</v>
      </c>
      <c r="I471" s="1" t="s">
        <v>348</v>
      </c>
      <c r="J471" s="1" t="s">
        <v>207</v>
      </c>
      <c r="K471" s="1" t="s">
        <v>746</v>
      </c>
      <c r="L471" s="1" t="s">
        <v>28</v>
      </c>
      <c r="M471">
        <f t="shared" si="49"/>
        <v>200</v>
      </c>
      <c r="N471" t="str">
        <f t="shared" si="50"/>
        <v>1982-03-17</v>
      </c>
      <c r="O471">
        <f t="shared" si="51"/>
        <v>29</v>
      </c>
      <c r="P471" t="str">
        <f t="shared" si="52"/>
        <v>mężczyzna</v>
      </c>
      <c r="Q471">
        <f t="shared" si="53"/>
        <v>6</v>
      </c>
      <c r="R471">
        <f t="shared" si="54"/>
        <v>0</v>
      </c>
      <c r="S471">
        <f t="shared" ca="1" si="55"/>
        <v>5234</v>
      </c>
    </row>
    <row r="472" spans="1:19">
      <c r="A472" s="1" t="s">
        <v>19</v>
      </c>
      <c r="B472" s="2">
        <v>314.83</v>
      </c>
      <c r="C472" s="1">
        <v>314.83</v>
      </c>
      <c r="D472" s="1" t="s">
        <v>397</v>
      </c>
      <c r="E472" s="1">
        <v>11</v>
      </c>
      <c r="F472" s="3">
        <v>2709.34</v>
      </c>
      <c r="G472" s="1">
        <v>6</v>
      </c>
      <c r="H472" s="1" t="s">
        <v>1312</v>
      </c>
      <c r="I472" s="1" t="s">
        <v>399</v>
      </c>
      <c r="J472" s="1" t="s">
        <v>16</v>
      </c>
      <c r="K472" s="1" t="s">
        <v>746</v>
      </c>
      <c r="L472" s="1" t="s">
        <v>1154</v>
      </c>
      <c r="M472">
        <f t="shared" si="49"/>
        <v>314.83</v>
      </c>
      <c r="N472" t="str">
        <f t="shared" si="50"/>
        <v>1976-06-18</v>
      </c>
      <c r="O472">
        <f t="shared" si="51"/>
        <v>35</v>
      </c>
      <c r="P472" t="str">
        <f t="shared" si="52"/>
        <v>kobieta</v>
      </c>
      <c r="Q472">
        <f t="shared" si="53"/>
        <v>182</v>
      </c>
      <c r="R472">
        <f t="shared" si="54"/>
        <v>48</v>
      </c>
      <c r="S472">
        <f t="shared" ca="1" si="55"/>
        <v>0</v>
      </c>
    </row>
    <row r="473" spans="1:19">
      <c r="A473" s="1" t="s">
        <v>12</v>
      </c>
      <c r="B473" s="2">
        <v>600</v>
      </c>
      <c r="C473" s="1">
        <v>600</v>
      </c>
      <c r="D473" s="1" t="s">
        <v>1313</v>
      </c>
      <c r="E473" s="1">
        <v>11</v>
      </c>
      <c r="F473" s="3">
        <v>1800</v>
      </c>
      <c r="G473" s="1">
        <v>1</v>
      </c>
      <c r="H473" s="1" t="s">
        <v>1314</v>
      </c>
      <c r="I473" s="1" t="s">
        <v>1315</v>
      </c>
      <c r="J473" s="1" t="s">
        <v>16</v>
      </c>
      <c r="K473" s="1" t="s">
        <v>746</v>
      </c>
      <c r="L473" s="1" t="s">
        <v>1267</v>
      </c>
      <c r="M473">
        <f t="shared" si="49"/>
        <v>600</v>
      </c>
      <c r="N473" t="str">
        <f t="shared" si="50"/>
        <v>1972-12-22</v>
      </c>
      <c r="O473">
        <f t="shared" si="51"/>
        <v>39</v>
      </c>
      <c r="P473" t="str">
        <f t="shared" si="52"/>
        <v>kobieta</v>
      </c>
      <c r="Q473">
        <f t="shared" si="53"/>
        <v>53</v>
      </c>
      <c r="R473">
        <f t="shared" si="54"/>
        <v>48</v>
      </c>
      <c r="S473">
        <f t="shared" ca="1" si="55"/>
        <v>18</v>
      </c>
    </row>
    <row r="474" spans="1:19">
      <c r="A474" s="1" t="s">
        <v>19</v>
      </c>
      <c r="B474" s="2">
        <v>500</v>
      </c>
      <c r="C474" s="1">
        <v>500</v>
      </c>
      <c r="D474" s="1" t="s">
        <v>372</v>
      </c>
      <c r="E474" s="1">
        <v>11</v>
      </c>
      <c r="F474" s="3">
        <v>3898</v>
      </c>
      <c r="G474" s="1">
        <v>1</v>
      </c>
      <c r="H474" s="1" t="s">
        <v>1316</v>
      </c>
      <c r="I474" s="1" t="s">
        <v>374</v>
      </c>
      <c r="J474" s="1" t="s">
        <v>16</v>
      </c>
      <c r="K474" s="1" t="s">
        <v>746</v>
      </c>
      <c r="L474" s="1" t="s">
        <v>1217</v>
      </c>
      <c r="M474">
        <f t="shared" si="49"/>
        <v>500</v>
      </c>
      <c r="N474" t="str">
        <f t="shared" si="50"/>
        <v>1975-03-16</v>
      </c>
      <c r="O474">
        <f t="shared" si="51"/>
        <v>36</v>
      </c>
      <c r="P474" t="str">
        <f t="shared" si="52"/>
        <v>mężczyzna</v>
      </c>
      <c r="Q474">
        <f t="shared" si="53"/>
        <v>182</v>
      </c>
      <c r="R474">
        <f t="shared" si="54"/>
        <v>48</v>
      </c>
      <c r="S474">
        <f t="shared" ca="1" si="55"/>
        <v>6</v>
      </c>
    </row>
    <row r="475" spans="1:19">
      <c r="A475" s="1" t="s">
        <v>19</v>
      </c>
      <c r="B475" s="2">
        <v>200</v>
      </c>
      <c r="C475" s="1">
        <v>200</v>
      </c>
      <c r="D475" s="1" t="s">
        <v>1317</v>
      </c>
      <c r="E475" s="1">
        <v>13</v>
      </c>
      <c r="F475" s="3">
        <v>965</v>
      </c>
      <c r="G475" s="1">
        <v>5</v>
      </c>
      <c r="H475" s="1" t="s">
        <v>1318</v>
      </c>
      <c r="I475" s="1" t="s">
        <v>1319</v>
      </c>
      <c r="J475" s="1" t="s">
        <v>16</v>
      </c>
      <c r="K475" s="1" t="s">
        <v>1320</v>
      </c>
      <c r="L475" s="1" t="s">
        <v>1150</v>
      </c>
      <c r="M475">
        <f t="shared" si="49"/>
        <v>200</v>
      </c>
      <c r="N475" t="str">
        <f t="shared" si="50"/>
        <v>1936-08-24</v>
      </c>
      <c r="O475">
        <f t="shared" si="51"/>
        <v>75</v>
      </c>
      <c r="P475" t="str">
        <f t="shared" si="52"/>
        <v>kobieta</v>
      </c>
      <c r="Q475">
        <f t="shared" si="53"/>
        <v>246</v>
      </c>
      <c r="R475">
        <f t="shared" si="54"/>
        <v>48</v>
      </c>
      <c r="S475">
        <f t="shared" ca="1" si="55"/>
        <v>0</v>
      </c>
    </row>
    <row r="476" spans="1:19">
      <c r="A476" s="1" t="s">
        <v>12</v>
      </c>
      <c r="B476" s="2">
        <v>438.67</v>
      </c>
      <c r="C476" s="1">
        <v>438.67</v>
      </c>
      <c r="D476" s="1" t="s">
        <v>1321</v>
      </c>
      <c r="E476" s="1">
        <v>11</v>
      </c>
      <c r="F476" s="3">
        <v>1577.42</v>
      </c>
      <c r="G476" s="1">
        <v>0</v>
      </c>
      <c r="H476" s="1" t="s">
        <v>1322</v>
      </c>
      <c r="I476" s="1" t="s">
        <v>263</v>
      </c>
      <c r="J476" s="1" t="s">
        <v>16</v>
      </c>
      <c r="K476" s="1" t="s">
        <v>1320</v>
      </c>
      <c r="L476" s="1" t="s">
        <v>1323</v>
      </c>
      <c r="M476">
        <f t="shared" si="49"/>
        <v>438.67</v>
      </c>
      <c r="N476" t="str">
        <f t="shared" si="50"/>
        <v>1961-01-08</v>
      </c>
      <c r="O476">
        <f t="shared" si="51"/>
        <v>50</v>
      </c>
      <c r="P476" t="str">
        <f t="shared" si="52"/>
        <v>kobieta</v>
      </c>
      <c r="Q476">
        <f t="shared" si="53"/>
        <v>206</v>
      </c>
      <c r="R476">
        <f t="shared" si="54"/>
        <v>48</v>
      </c>
      <c r="S476">
        <f t="shared" ca="1" si="55"/>
        <v>13</v>
      </c>
    </row>
    <row r="477" spans="1:19">
      <c r="A477" s="1" t="s">
        <v>19</v>
      </c>
      <c r="B477" s="2">
        <v>500</v>
      </c>
      <c r="C477" s="1">
        <v>400</v>
      </c>
      <c r="D477" s="1" t="s">
        <v>1324</v>
      </c>
      <c r="E477" s="1">
        <v>13</v>
      </c>
      <c r="F477" s="3">
        <v>1800</v>
      </c>
      <c r="G477" s="1">
        <v>0</v>
      </c>
      <c r="H477" s="1" t="s">
        <v>1325</v>
      </c>
      <c r="I477" s="1" t="s">
        <v>328</v>
      </c>
      <c r="J477" s="1" t="s">
        <v>16</v>
      </c>
      <c r="K477" s="1" t="s">
        <v>1320</v>
      </c>
      <c r="L477" s="1" t="s">
        <v>1154</v>
      </c>
      <c r="M477">
        <f t="shared" si="49"/>
        <v>400</v>
      </c>
      <c r="N477" t="str">
        <f t="shared" si="50"/>
        <v>1951-01-24</v>
      </c>
      <c r="O477">
        <f t="shared" si="51"/>
        <v>60</v>
      </c>
      <c r="P477" t="str">
        <f t="shared" si="52"/>
        <v>kobieta</v>
      </c>
      <c r="Q477">
        <f t="shared" si="53"/>
        <v>70</v>
      </c>
      <c r="R477">
        <f t="shared" si="54"/>
        <v>48</v>
      </c>
      <c r="S477">
        <f t="shared" ca="1" si="55"/>
        <v>0</v>
      </c>
    </row>
    <row r="478" spans="1:19">
      <c r="A478" s="1" t="s">
        <v>19</v>
      </c>
      <c r="B478" s="2">
        <v>1000</v>
      </c>
      <c r="C478" s="1">
        <v>500</v>
      </c>
      <c r="D478" s="1" t="s">
        <v>1326</v>
      </c>
      <c r="E478" s="1">
        <v>11</v>
      </c>
      <c r="F478" s="3">
        <v>3000</v>
      </c>
      <c r="G478" s="1">
        <v>0</v>
      </c>
      <c r="H478" s="1" t="s">
        <v>1327</v>
      </c>
      <c r="I478" s="1" t="s">
        <v>822</v>
      </c>
      <c r="J478" s="1" t="s">
        <v>16</v>
      </c>
      <c r="K478" s="1" t="s">
        <v>1320</v>
      </c>
      <c r="L478" s="1" t="s">
        <v>1150</v>
      </c>
      <c r="M478">
        <f t="shared" si="49"/>
        <v>500</v>
      </c>
      <c r="N478" t="str">
        <f t="shared" si="50"/>
        <v>1966-10-05</v>
      </c>
      <c r="O478">
        <f t="shared" si="51"/>
        <v>45</v>
      </c>
      <c r="P478" t="str">
        <f t="shared" si="52"/>
        <v>kobieta</v>
      </c>
      <c r="Q478">
        <f t="shared" si="53"/>
        <v>94</v>
      </c>
      <c r="R478">
        <f t="shared" si="54"/>
        <v>48</v>
      </c>
      <c r="S478">
        <f t="shared" ca="1" si="55"/>
        <v>0</v>
      </c>
    </row>
    <row r="479" spans="1:19">
      <c r="A479" s="1" t="s">
        <v>12</v>
      </c>
      <c r="B479" s="2">
        <v>300</v>
      </c>
      <c r="C479" s="1">
        <v>200</v>
      </c>
      <c r="D479" s="1" t="s">
        <v>52</v>
      </c>
      <c r="E479" s="1">
        <v>12</v>
      </c>
      <c r="F479" s="3">
        <v>990.34</v>
      </c>
      <c r="G479" s="1">
        <v>0</v>
      </c>
      <c r="H479" s="1" t="s">
        <v>1328</v>
      </c>
      <c r="I479" s="1" t="s">
        <v>54</v>
      </c>
      <c r="J479" s="1" t="s">
        <v>55</v>
      </c>
      <c r="K479" s="1" t="s">
        <v>1320</v>
      </c>
      <c r="L479" s="1" t="s">
        <v>1236</v>
      </c>
      <c r="M479">
        <f t="shared" si="49"/>
        <v>200</v>
      </c>
      <c r="N479" t="str">
        <f t="shared" si="50"/>
        <v>1965-07-22</v>
      </c>
      <c r="O479">
        <f t="shared" si="51"/>
        <v>46</v>
      </c>
      <c r="P479" t="str">
        <f t="shared" si="52"/>
        <v>kobieta</v>
      </c>
      <c r="Q479">
        <f t="shared" si="53"/>
        <v>57</v>
      </c>
      <c r="R479">
        <f t="shared" si="54"/>
        <v>15</v>
      </c>
      <c r="S479">
        <f t="shared" ca="1" si="55"/>
        <v>12</v>
      </c>
    </row>
    <row r="480" spans="1:19">
      <c r="A480" s="1" t="s">
        <v>12</v>
      </c>
      <c r="B480" s="2">
        <v>200</v>
      </c>
      <c r="C480" s="1">
        <v>200</v>
      </c>
      <c r="D480" s="1" t="s">
        <v>478</v>
      </c>
      <c r="E480" s="1">
        <v>11</v>
      </c>
      <c r="F480" s="3">
        <v>932.34</v>
      </c>
      <c r="G480" s="1">
        <v>6</v>
      </c>
      <c r="H480" s="1" t="s">
        <v>1329</v>
      </c>
      <c r="I480" s="1" t="s">
        <v>480</v>
      </c>
      <c r="J480" s="1" t="s">
        <v>16</v>
      </c>
      <c r="K480" s="1" t="s">
        <v>1320</v>
      </c>
      <c r="L480" s="1" t="s">
        <v>968</v>
      </c>
      <c r="M480">
        <f t="shared" si="49"/>
        <v>200</v>
      </c>
      <c r="N480" t="str">
        <f t="shared" si="50"/>
        <v>1960-02-09</v>
      </c>
      <c r="O480">
        <f t="shared" si="51"/>
        <v>51</v>
      </c>
      <c r="P480" t="str">
        <f t="shared" si="52"/>
        <v>kobieta</v>
      </c>
      <c r="Q480">
        <f t="shared" si="53"/>
        <v>396</v>
      </c>
      <c r="R480">
        <f t="shared" si="54"/>
        <v>48</v>
      </c>
      <c r="S480">
        <f t="shared" ca="1" si="55"/>
        <v>214</v>
      </c>
    </row>
    <row r="481" spans="1:19">
      <c r="A481" s="1" t="s">
        <v>12</v>
      </c>
      <c r="B481" s="2">
        <v>300</v>
      </c>
      <c r="C481" s="1">
        <v>300</v>
      </c>
      <c r="D481" s="1" t="s">
        <v>390</v>
      </c>
      <c r="E481" s="1">
        <v>11</v>
      </c>
      <c r="F481" s="3">
        <v>1566.82</v>
      </c>
      <c r="G481" s="1">
        <v>0</v>
      </c>
      <c r="H481" s="1" t="s">
        <v>1330</v>
      </c>
      <c r="I481" s="1" t="s">
        <v>392</v>
      </c>
      <c r="J481" s="1" t="s">
        <v>16</v>
      </c>
      <c r="K481" s="1" t="s">
        <v>1320</v>
      </c>
      <c r="L481" s="1" t="s">
        <v>1323</v>
      </c>
      <c r="M481">
        <f t="shared" si="49"/>
        <v>300</v>
      </c>
      <c r="N481" t="str">
        <f t="shared" si="50"/>
        <v>1965-06-08</v>
      </c>
      <c r="O481">
        <f t="shared" si="51"/>
        <v>46</v>
      </c>
      <c r="P481" t="str">
        <f t="shared" si="52"/>
        <v>mężczyzna</v>
      </c>
      <c r="Q481">
        <f t="shared" si="53"/>
        <v>350</v>
      </c>
      <c r="R481">
        <f t="shared" si="54"/>
        <v>48</v>
      </c>
      <c r="S481">
        <f t="shared" ca="1" si="55"/>
        <v>13</v>
      </c>
    </row>
    <row r="482" spans="1:19">
      <c r="A482" s="1" t="s">
        <v>12</v>
      </c>
      <c r="B482" s="2">
        <v>200</v>
      </c>
      <c r="C482" s="1">
        <v>200</v>
      </c>
      <c r="D482" s="1" t="s">
        <v>487</v>
      </c>
      <c r="E482" s="1">
        <v>11</v>
      </c>
      <c r="F482" s="3">
        <v>1493.98</v>
      </c>
      <c r="G482" s="1">
        <v>5</v>
      </c>
      <c r="H482" s="1" t="s">
        <v>1331</v>
      </c>
      <c r="I482" s="1" t="s">
        <v>489</v>
      </c>
      <c r="J482" s="1" t="s">
        <v>16</v>
      </c>
      <c r="K482" s="1" t="s">
        <v>1320</v>
      </c>
      <c r="L482" s="1" t="s">
        <v>1332</v>
      </c>
      <c r="M482">
        <f t="shared" si="49"/>
        <v>200</v>
      </c>
      <c r="N482" t="str">
        <f t="shared" si="50"/>
        <v>1964-05-31</v>
      </c>
      <c r="O482">
        <f t="shared" si="51"/>
        <v>47</v>
      </c>
      <c r="P482" t="str">
        <f t="shared" si="52"/>
        <v>kobieta</v>
      </c>
      <c r="Q482">
        <f t="shared" si="53"/>
        <v>362</v>
      </c>
      <c r="R482">
        <f t="shared" si="54"/>
        <v>48</v>
      </c>
      <c r="S482">
        <f t="shared" ca="1" si="55"/>
        <v>181</v>
      </c>
    </row>
    <row r="483" spans="1:19">
      <c r="A483" s="1" t="s">
        <v>19</v>
      </c>
      <c r="B483" s="2">
        <v>200</v>
      </c>
      <c r="C483" s="1">
        <v>200</v>
      </c>
      <c r="D483" s="1" t="s">
        <v>518</v>
      </c>
      <c r="E483" s="1">
        <v>12</v>
      </c>
      <c r="F483" s="3">
        <v>1521</v>
      </c>
      <c r="G483" s="1">
        <v>2</v>
      </c>
      <c r="H483" s="1" t="s">
        <v>1333</v>
      </c>
      <c r="I483" s="1" t="s">
        <v>300</v>
      </c>
      <c r="J483" s="1" t="s">
        <v>520</v>
      </c>
      <c r="K483" s="1" t="s">
        <v>1320</v>
      </c>
      <c r="L483" s="1" t="s">
        <v>1127</v>
      </c>
      <c r="M483">
        <f t="shared" si="49"/>
        <v>200</v>
      </c>
      <c r="N483" t="str">
        <f t="shared" si="50"/>
        <v>1981-12-29</v>
      </c>
      <c r="O483">
        <f t="shared" si="51"/>
        <v>30</v>
      </c>
      <c r="P483" t="str">
        <f t="shared" si="52"/>
        <v>mężczyzna</v>
      </c>
      <c r="Q483">
        <f t="shared" si="53"/>
        <v>21</v>
      </c>
      <c r="R483">
        <f t="shared" si="54"/>
        <v>9</v>
      </c>
      <c r="S483">
        <f t="shared" ca="1" si="55"/>
        <v>6</v>
      </c>
    </row>
    <row r="484" spans="1:19">
      <c r="A484" s="1" t="s">
        <v>24</v>
      </c>
      <c r="B484" s="2">
        <v>500</v>
      </c>
      <c r="C484" s="1">
        <v>0</v>
      </c>
      <c r="D484" s="1" t="s">
        <v>1334</v>
      </c>
      <c r="E484" s="1">
        <v>11</v>
      </c>
      <c r="F484" s="3">
        <v>2200</v>
      </c>
      <c r="G484" s="1">
        <v>0</v>
      </c>
      <c r="H484" s="1" t="s">
        <v>1335</v>
      </c>
      <c r="I484" s="1" t="s">
        <v>1336</v>
      </c>
      <c r="J484" s="1" t="s">
        <v>16</v>
      </c>
      <c r="K484" s="1" t="s">
        <v>16</v>
      </c>
      <c r="L484" s="1" t="s">
        <v>28</v>
      </c>
      <c r="M484">
        <f t="shared" si="49"/>
        <v>500</v>
      </c>
      <c r="N484" t="str">
        <f t="shared" si="50"/>
        <v>1981-07-24</v>
      </c>
      <c r="O484">
        <f t="shared" si="51"/>
        <v>30</v>
      </c>
      <c r="P484" t="str">
        <f t="shared" si="52"/>
        <v>mężczyzna</v>
      </c>
      <c r="Q484">
        <f t="shared" si="53"/>
        <v>115</v>
      </c>
      <c r="R484">
        <f t="shared" si="54"/>
        <v>48</v>
      </c>
      <c r="S484">
        <f t="shared" ca="1" si="55"/>
        <v>0</v>
      </c>
    </row>
    <row r="485" spans="1:19">
      <c r="A485" s="1" t="s">
        <v>24</v>
      </c>
      <c r="B485" s="2">
        <v>300</v>
      </c>
      <c r="C485" s="1">
        <v>0</v>
      </c>
      <c r="D485" s="1" t="s">
        <v>1337</v>
      </c>
      <c r="E485" s="1">
        <v>17</v>
      </c>
      <c r="F485" s="3">
        <v>596.16999999999996</v>
      </c>
      <c r="G485" s="1">
        <v>0</v>
      </c>
      <c r="H485" s="1" t="s">
        <v>1338</v>
      </c>
      <c r="I485" s="1" t="s">
        <v>1339</v>
      </c>
      <c r="J485" s="1" t="s">
        <v>1340</v>
      </c>
      <c r="K485" s="1" t="s">
        <v>16</v>
      </c>
      <c r="L485" s="1" t="s">
        <v>28</v>
      </c>
      <c r="M485">
        <f t="shared" si="49"/>
        <v>300</v>
      </c>
      <c r="N485" t="str">
        <f t="shared" si="50"/>
        <v>1992-02-11</v>
      </c>
      <c r="O485">
        <f t="shared" si="51"/>
        <v>19</v>
      </c>
      <c r="P485" t="str">
        <f t="shared" si="52"/>
        <v>kobieta</v>
      </c>
      <c r="Q485">
        <f t="shared" si="53"/>
        <v>2</v>
      </c>
      <c r="R485">
        <f t="shared" si="54"/>
        <v>21</v>
      </c>
      <c r="S485">
        <f t="shared" ca="1" si="55"/>
        <v>0</v>
      </c>
    </row>
    <row r="486" spans="1:19">
      <c r="A486" s="1" t="s">
        <v>12</v>
      </c>
      <c r="B486" s="2">
        <v>200</v>
      </c>
      <c r="C486" s="1">
        <v>200</v>
      </c>
      <c r="D486" s="1" t="s">
        <v>1341</v>
      </c>
      <c r="E486" s="1">
        <v>13</v>
      </c>
      <c r="F486" s="3">
        <v>1672.59</v>
      </c>
      <c r="G486" s="1">
        <v>0</v>
      </c>
      <c r="H486" s="1" t="s">
        <v>1342</v>
      </c>
      <c r="I486" s="1" t="s">
        <v>1085</v>
      </c>
      <c r="J486" s="1" t="s">
        <v>16</v>
      </c>
      <c r="K486" s="1" t="s">
        <v>1320</v>
      </c>
      <c r="L486" s="1" t="s">
        <v>1323</v>
      </c>
      <c r="M486">
        <f t="shared" si="49"/>
        <v>200</v>
      </c>
      <c r="N486" t="str">
        <f t="shared" si="50"/>
        <v>1949-11-12</v>
      </c>
      <c r="O486">
        <f t="shared" si="51"/>
        <v>62</v>
      </c>
      <c r="P486" t="str">
        <f t="shared" si="52"/>
        <v>mężczyzna</v>
      </c>
      <c r="Q486">
        <f t="shared" si="53"/>
        <v>23</v>
      </c>
      <c r="R486">
        <f t="shared" si="54"/>
        <v>48</v>
      </c>
      <c r="S486">
        <f t="shared" ca="1" si="55"/>
        <v>13</v>
      </c>
    </row>
    <row r="487" spans="1:19">
      <c r="A487" s="1" t="s">
        <v>12</v>
      </c>
      <c r="B487" s="2">
        <v>300</v>
      </c>
      <c r="C487" s="1">
        <v>300</v>
      </c>
      <c r="D487" s="1" t="s">
        <v>286</v>
      </c>
      <c r="E487" s="1">
        <v>11</v>
      </c>
      <c r="F487" s="3">
        <v>1300</v>
      </c>
      <c r="G487" s="1">
        <v>0</v>
      </c>
      <c r="H487" s="1" t="s">
        <v>1343</v>
      </c>
      <c r="I487" s="1" t="s">
        <v>288</v>
      </c>
      <c r="J487" s="1" t="s">
        <v>16</v>
      </c>
      <c r="K487" s="1" t="s">
        <v>1320</v>
      </c>
      <c r="L487" s="1" t="s">
        <v>842</v>
      </c>
      <c r="M487">
        <f t="shared" si="49"/>
        <v>300</v>
      </c>
      <c r="N487" t="str">
        <f t="shared" si="50"/>
        <v>1958-12-16</v>
      </c>
      <c r="O487">
        <f t="shared" si="51"/>
        <v>53</v>
      </c>
      <c r="P487" t="str">
        <f t="shared" si="52"/>
        <v>mężczyzna</v>
      </c>
      <c r="Q487">
        <f t="shared" si="53"/>
        <v>453</v>
      </c>
      <c r="R487">
        <f t="shared" si="54"/>
        <v>48</v>
      </c>
      <c r="S487">
        <f t="shared" ca="1" si="55"/>
        <v>0</v>
      </c>
    </row>
    <row r="488" spans="1:19">
      <c r="A488" s="1" t="s">
        <v>12</v>
      </c>
      <c r="B488" s="2">
        <v>600</v>
      </c>
      <c r="C488" s="1">
        <v>500</v>
      </c>
      <c r="D488" s="1" t="s">
        <v>500</v>
      </c>
      <c r="E488" s="1">
        <v>98</v>
      </c>
      <c r="F488" s="3">
        <v>1256</v>
      </c>
      <c r="G488" s="1">
        <v>0</v>
      </c>
      <c r="H488" s="1" t="s">
        <v>1344</v>
      </c>
      <c r="I488" s="1" t="s">
        <v>328</v>
      </c>
      <c r="J488" s="1" t="s">
        <v>16</v>
      </c>
      <c r="K488" s="1" t="s">
        <v>1320</v>
      </c>
      <c r="L488" s="1" t="s">
        <v>1345</v>
      </c>
      <c r="M488">
        <f t="shared" si="49"/>
        <v>500</v>
      </c>
      <c r="N488" t="str">
        <f t="shared" si="50"/>
        <v>1976-01-07</v>
      </c>
      <c r="O488">
        <f t="shared" si="51"/>
        <v>35</v>
      </c>
      <c r="P488" t="str">
        <f t="shared" si="52"/>
        <v>mężczyzna</v>
      </c>
      <c r="Q488">
        <f t="shared" si="53"/>
        <v>70</v>
      </c>
      <c r="R488">
        <f t="shared" si="54"/>
        <v>48</v>
      </c>
      <c r="S488">
        <f t="shared" ca="1" si="55"/>
        <v>291</v>
      </c>
    </row>
    <row r="489" spans="1:19">
      <c r="A489" s="1" t="s">
        <v>12</v>
      </c>
      <c r="B489" s="2">
        <v>400</v>
      </c>
      <c r="C489" s="1">
        <v>400</v>
      </c>
      <c r="D489" s="1" t="s">
        <v>490</v>
      </c>
      <c r="E489" s="1">
        <v>11</v>
      </c>
      <c r="F489" s="3">
        <v>1730.13</v>
      </c>
      <c r="G489" s="1">
        <v>4</v>
      </c>
      <c r="H489" s="1" t="s">
        <v>1346</v>
      </c>
      <c r="I489" s="1" t="s">
        <v>76</v>
      </c>
      <c r="J489" s="1" t="s">
        <v>16</v>
      </c>
      <c r="K489" s="1" t="s">
        <v>1320</v>
      </c>
      <c r="L489" s="1" t="s">
        <v>1347</v>
      </c>
      <c r="M489">
        <f t="shared" si="49"/>
        <v>400</v>
      </c>
      <c r="N489" t="str">
        <f t="shared" si="50"/>
        <v>1955-04-03</v>
      </c>
      <c r="O489">
        <f t="shared" si="51"/>
        <v>56</v>
      </c>
      <c r="P489" t="str">
        <f t="shared" si="52"/>
        <v>kobieta</v>
      </c>
      <c r="Q489">
        <f t="shared" si="53"/>
        <v>194</v>
      </c>
      <c r="R489">
        <f t="shared" si="54"/>
        <v>48</v>
      </c>
      <c r="S489">
        <f t="shared" ca="1" si="55"/>
        <v>18</v>
      </c>
    </row>
    <row r="490" spans="1:19">
      <c r="A490" s="1" t="s">
        <v>19</v>
      </c>
      <c r="B490" s="2">
        <v>500</v>
      </c>
      <c r="C490" s="1">
        <v>500</v>
      </c>
      <c r="D490" s="1" t="s">
        <v>525</v>
      </c>
      <c r="E490" s="1">
        <v>13</v>
      </c>
      <c r="F490" s="3">
        <v>1900</v>
      </c>
      <c r="G490" s="1">
        <v>6</v>
      </c>
      <c r="H490" s="1" t="s">
        <v>1348</v>
      </c>
      <c r="I490" s="1" t="s">
        <v>527</v>
      </c>
      <c r="J490" s="1" t="s">
        <v>16</v>
      </c>
      <c r="K490" s="1" t="s">
        <v>1320</v>
      </c>
      <c r="L490" s="1" t="s">
        <v>1103</v>
      </c>
      <c r="M490">
        <f t="shared" si="49"/>
        <v>500</v>
      </c>
      <c r="N490" t="str">
        <f t="shared" si="50"/>
        <v>1955-09-30</v>
      </c>
      <c r="O490">
        <f t="shared" si="51"/>
        <v>56</v>
      </c>
      <c r="P490" t="str">
        <f t="shared" si="52"/>
        <v>mężczyzna</v>
      </c>
      <c r="Q490">
        <f t="shared" si="53"/>
        <v>151</v>
      </c>
      <c r="R490">
        <f t="shared" si="54"/>
        <v>48</v>
      </c>
      <c r="S490">
        <f t="shared" ca="1" si="55"/>
        <v>4</v>
      </c>
    </row>
    <row r="491" spans="1:19">
      <c r="A491" s="1" t="s">
        <v>19</v>
      </c>
      <c r="B491" s="2">
        <v>700</v>
      </c>
      <c r="C491" s="1">
        <v>700</v>
      </c>
      <c r="D491" s="1" t="s">
        <v>510</v>
      </c>
      <c r="E491" s="1">
        <v>11</v>
      </c>
      <c r="F491" s="3">
        <v>3178.76</v>
      </c>
      <c r="G491" s="1">
        <v>1</v>
      </c>
      <c r="H491" s="1" t="s">
        <v>1349</v>
      </c>
      <c r="I491" s="1" t="s">
        <v>319</v>
      </c>
      <c r="J491" s="1" t="s">
        <v>16</v>
      </c>
      <c r="K491" s="1" t="s">
        <v>1320</v>
      </c>
      <c r="L491" s="1" t="s">
        <v>1103</v>
      </c>
      <c r="M491">
        <f t="shared" si="49"/>
        <v>700</v>
      </c>
      <c r="N491" t="str">
        <f t="shared" si="50"/>
        <v>1974-08-05</v>
      </c>
      <c r="O491">
        <f t="shared" si="51"/>
        <v>37</v>
      </c>
      <c r="P491" t="str">
        <f t="shared" si="52"/>
        <v>kobieta</v>
      </c>
      <c r="Q491">
        <f t="shared" si="53"/>
        <v>122</v>
      </c>
      <c r="R491">
        <f t="shared" si="54"/>
        <v>48</v>
      </c>
      <c r="S491">
        <f t="shared" ca="1" si="55"/>
        <v>4</v>
      </c>
    </row>
    <row r="492" spans="1:19">
      <c r="A492" s="1" t="s">
        <v>19</v>
      </c>
      <c r="B492" s="2">
        <v>700</v>
      </c>
      <c r="C492" s="1">
        <v>700</v>
      </c>
      <c r="D492" s="1" t="s">
        <v>512</v>
      </c>
      <c r="E492" s="1">
        <v>11</v>
      </c>
      <c r="F492" s="3">
        <v>3100</v>
      </c>
      <c r="G492" s="1">
        <v>1</v>
      </c>
      <c r="H492" s="1" t="s">
        <v>1350</v>
      </c>
      <c r="I492" s="1" t="s">
        <v>319</v>
      </c>
      <c r="J492" s="1" t="s">
        <v>16</v>
      </c>
      <c r="K492" s="1" t="s">
        <v>1320</v>
      </c>
      <c r="L492" s="1" t="s">
        <v>1103</v>
      </c>
      <c r="M492">
        <f t="shared" si="49"/>
        <v>700</v>
      </c>
      <c r="N492" t="str">
        <f t="shared" si="50"/>
        <v>1979-05-21</v>
      </c>
      <c r="O492">
        <f t="shared" si="51"/>
        <v>32</v>
      </c>
      <c r="P492" t="str">
        <f t="shared" si="52"/>
        <v>kobieta</v>
      </c>
      <c r="Q492">
        <f t="shared" si="53"/>
        <v>122</v>
      </c>
      <c r="R492">
        <f t="shared" si="54"/>
        <v>48</v>
      </c>
      <c r="S492">
        <f t="shared" ca="1" si="55"/>
        <v>4</v>
      </c>
    </row>
    <row r="493" spans="1:19">
      <c r="A493" s="1" t="s">
        <v>12</v>
      </c>
      <c r="B493" s="2">
        <v>600</v>
      </c>
      <c r="C493" s="1">
        <v>600</v>
      </c>
      <c r="D493" s="1" t="s">
        <v>272</v>
      </c>
      <c r="E493" s="1">
        <v>11</v>
      </c>
      <c r="F493" s="3">
        <v>1700</v>
      </c>
      <c r="G493" s="1">
        <v>5</v>
      </c>
      <c r="H493" s="1" t="s">
        <v>1351</v>
      </c>
      <c r="I493" s="1" t="s">
        <v>274</v>
      </c>
      <c r="J493" s="1" t="s">
        <v>16</v>
      </c>
      <c r="K493" s="1" t="s">
        <v>1320</v>
      </c>
      <c r="L493" s="1" t="s">
        <v>638</v>
      </c>
      <c r="M493">
        <f t="shared" si="49"/>
        <v>600</v>
      </c>
      <c r="N493" t="str">
        <f t="shared" si="50"/>
        <v>1964-09-09</v>
      </c>
      <c r="O493">
        <f t="shared" si="51"/>
        <v>47</v>
      </c>
      <c r="P493" t="str">
        <f t="shared" si="52"/>
        <v>kobieta</v>
      </c>
      <c r="Q493">
        <f t="shared" si="53"/>
        <v>90</v>
      </c>
      <c r="R493">
        <f t="shared" si="54"/>
        <v>48</v>
      </c>
      <c r="S493">
        <f t="shared" ca="1" si="55"/>
        <v>0</v>
      </c>
    </row>
    <row r="494" spans="1:19">
      <c r="A494" s="1" t="s">
        <v>19</v>
      </c>
      <c r="B494" s="2">
        <v>300</v>
      </c>
      <c r="C494" s="1">
        <v>300</v>
      </c>
      <c r="D494" s="1" t="s">
        <v>122</v>
      </c>
      <c r="E494" s="1">
        <v>13</v>
      </c>
      <c r="F494" s="3">
        <v>1014</v>
      </c>
      <c r="G494" s="1">
        <v>0</v>
      </c>
      <c r="H494" s="1" t="s">
        <v>1352</v>
      </c>
      <c r="I494" s="1" t="s">
        <v>124</v>
      </c>
      <c r="J494" s="1" t="s">
        <v>16</v>
      </c>
      <c r="K494" s="1" t="s">
        <v>1320</v>
      </c>
      <c r="L494" s="1" t="s">
        <v>1055</v>
      </c>
      <c r="M494">
        <f t="shared" si="49"/>
        <v>300</v>
      </c>
      <c r="N494" t="str">
        <f t="shared" si="50"/>
        <v>1948-02-07</v>
      </c>
      <c r="O494">
        <f t="shared" si="51"/>
        <v>63</v>
      </c>
      <c r="P494" t="str">
        <f t="shared" si="52"/>
        <v>kobieta</v>
      </c>
      <c r="Q494">
        <f t="shared" si="53"/>
        <v>184</v>
      </c>
      <c r="R494">
        <f t="shared" si="54"/>
        <v>48</v>
      </c>
      <c r="S494">
        <f t="shared" ca="1" si="55"/>
        <v>0</v>
      </c>
    </row>
    <row r="495" spans="1:19">
      <c r="A495" s="1" t="s">
        <v>19</v>
      </c>
      <c r="B495" s="2">
        <v>780</v>
      </c>
      <c r="C495" s="1">
        <v>780</v>
      </c>
      <c r="D495" s="1" t="s">
        <v>170</v>
      </c>
      <c r="E495" s="1">
        <v>13</v>
      </c>
      <c r="F495" s="3">
        <v>860</v>
      </c>
      <c r="G495" s="1">
        <v>0</v>
      </c>
      <c r="H495" s="1" t="s">
        <v>1353</v>
      </c>
      <c r="I495" s="1" t="s">
        <v>172</v>
      </c>
      <c r="J495" s="1" t="s">
        <v>16</v>
      </c>
      <c r="K495" s="1" t="s">
        <v>1320</v>
      </c>
      <c r="L495" s="1" t="s">
        <v>1127</v>
      </c>
      <c r="M495">
        <f t="shared" si="49"/>
        <v>780</v>
      </c>
      <c r="N495" t="str">
        <f t="shared" si="50"/>
        <v>1948-02-10</v>
      </c>
      <c r="O495">
        <f t="shared" si="51"/>
        <v>63</v>
      </c>
      <c r="P495" t="str">
        <f t="shared" si="52"/>
        <v>kobieta</v>
      </c>
      <c r="Q495">
        <f t="shared" si="53"/>
        <v>81</v>
      </c>
      <c r="R495">
        <f t="shared" si="54"/>
        <v>48</v>
      </c>
      <c r="S495">
        <f t="shared" ca="1" si="55"/>
        <v>6</v>
      </c>
    </row>
    <row r="496" spans="1:19">
      <c r="A496" s="1" t="s">
        <v>19</v>
      </c>
      <c r="B496" s="2">
        <v>389.72</v>
      </c>
      <c r="C496" s="1">
        <v>389.72</v>
      </c>
      <c r="D496" s="1" t="s">
        <v>508</v>
      </c>
      <c r="E496" s="1">
        <v>98</v>
      </c>
      <c r="F496" s="3">
        <v>3000</v>
      </c>
      <c r="G496" s="1">
        <v>2</v>
      </c>
      <c r="H496" s="1" t="s">
        <v>1354</v>
      </c>
      <c r="I496" s="1" t="s">
        <v>333</v>
      </c>
      <c r="J496" s="1" t="s">
        <v>16</v>
      </c>
      <c r="K496" s="1" t="s">
        <v>1320</v>
      </c>
      <c r="L496" s="1" t="s">
        <v>1150</v>
      </c>
      <c r="M496">
        <f t="shared" si="49"/>
        <v>389.72</v>
      </c>
      <c r="N496" t="str">
        <f t="shared" si="50"/>
        <v>1959-03-02</v>
      </c>
      <c r="O496">
        <f t="shared" si="51"/>
        <v>52</v>
      </c>
      <c r="P496" t="str">
        <f t="shared" si="52"/>
        <v>kobieta</v>
      </c>
      <c r="Q496">
        <f t="shared" si="53"/>
        <v>86</v>
      </c>
      <c r="R496">
        <f t="shared" si="54"/>
        <v>48</v>
      </c>
      <c r="S496">
        <f t="shared" ca="1" si="55"/>
        <v>0</v>
      </c>
    </row>
    <row r="497" spans="1:19">
      <c r="A497" s="1" t="s">
        <v>19</v>
      </c>
      <c r="B497" s="2">
        <v>500</v>
      </c>
      <c r="C497" s="1">
        <v>500</v>
      </c>
      <c r="D497" s="1" t="s">
        <v>454</v>
      </c>
      <c r="E497" s="1">
        <v>12</v>
      </c>
      <c r="F497" s="3">
        <v>1447</v>
      </c>
      <c r="G497" s="1">
        <v>6</v>
      </c>
      <c r="H497" s="1" t="s">
        <v>1355</v>
      </c>
      <c r="I497" s="1" t="s">
        <v>456</v>
      </c>
      <c r="J497" s="1" t="s">
        <v>457</v>
      </c>
      <c r="K497" s="1" t="s">
        <v>1356</v>
      </c>
      <c r="L497" s="1" t="s">
        <v>1127</v>
      </c>
      <c r="M497">
        <f t="shared" si="49"/>
        <v>500</v>
      </c>
      <c r="N497" t="str">
        <f t="shared" si="50"/>
        <v>1982-06-22</v>
      </c>
      <c r="O497">
        <f t="shared" si="51"/>
        <v>29</v>
      </c>
      <c r="P497" t="str">
        <f t="shared" si="52"/>
        <v>kobieta</v>
      </c>
      <c r="Q497">
        <f t="shared" si="53"/>
        <v>23</v>
      </c>
      <c r="R497">
        <f t="shared" si="54"/>
        <v>1</v>
      </c>
      <c r="S497">
        <f t="shared" ca="1" si="55"/>
        <v>5</v>
      </c>
    </row>
    <row r="498" spans="1:19">
      <c r="A498" s="1" t="s">
        <v>19</v>
      </c>
      <c r="B498" s="2">
        <v>200</v>
      </c>
      <c r="C498" s="1">
        <v>200</v>
      </c>
      <c r="D498" s="1" t="s">
        <v>528</v>
      </c>
      <c r="E498" s="1">
        <v>17</v>
      </c>
      <c r="F498" s="3">
        <v>728</v>
      </c>
      <c r="G498" s="1">
        <v>6</v>
      </c>
      <c r="H498" s="1" t="s">
        <v>1357</v>
      </c>
      <c r="I498" s="1" t="s">
        <v>530</v>
      </c>
      <c r="J498" s="1" t="s">
        <v>531</v>
      </c>
      <c r="K498" s="1" t="s">
        <v>1356</v>
      </c>
      <c r="L498" s="1" t="s">
        <v>1103</v>
      </c>
      <c r="M498">
        <f t="shared" si="49"/>
        <v>200</v>
      </c>
      <c r="N498" t="str">
        <f t="shared" si="50"/>
        <v>1984-09-24</v>
      </c>
      <c r="O498">
        <f t="shared" si="51"/>
        <v>27</v>
      </c>
      <c r="P498" t="str">
        <f t="shared" si="52"/>
        <v>mężczyzna</v>
      </c>
      <c r="Q498">
        <f t="shared" si="53"/>
        <v>101</v>
      </c>
      <c r="R498">
        <f t="shared" si="54"/>
        <v>29</v>
      </c>
      <c r="S498">
        <f t="shared" ca="1" si="55"/>
        <v>3</v>
      </c>
    </row>
    <row r="499" spans="1:19">
      <c r="A499" s="1" t="s">
        <v>19</v>
      </c>
      <c r="B499" s="2">
        <v>515.96</v>
      </c>
      <c r="C499" s="1">
        <v>515.96</v>
      </c>
      <c r="D499" s="1" t="s">
        <v>323</v>
      </c>
      <c r="E499" s="1">
        <v>13</v>
      </c>
      <c r="F499" s="3">
        <v>1801.41</v>
      </c>
      <c r="G499" s="1">
        <v>1</v>
      </c>
      <c r="H499" s="1" t="s">
        <v>1358</v>
      </c>
      <c r="I499" s="1" t="s">
        <v>325</v>
      </c>
      <c r="J499" s="1" t="s">
        <v>16</v>
      </c>
      <c r="K499" s="1" t="s">
        <v>1356</v>
      </c>
      <c r="L499" s="1" t="s">
        <v>1103</v>
      </c>
      <c r="M499">
        <f t="shared" si="49"/>
        <v>515.96</v>
      </c>
      <c r="N499" t="str">
        <f t="shared" si="50"/>
        <v>1953-02-06</v>
      </c>
      <c r="O499">
        <f t="shared" si="51"/>
        <v>58</v>
      </c>
      <c r="P499" t="str">
        <f t="shared" si="52"/>
        <v>kobieta</v>
      </c>
      <c r="Q499">
        <f t="shared" si="53"/>
        <v>39</v>
      </c>
      <c r="R499">
        <f t="shared" si="54"/>
        <v>48</v>
      </c>
      <c r="S499">
        <f t="shared" ca="1" si="55"/>
        <v>3</v>
      </c>
    </row>
    <row r="500" spans="1:19">
      <c r="A500" s="1" t="s">
        <v>19</v>
      </c>
      <c r="B500" s="2">
        <v>300</v>
      </c>
      <c r="C500" s="1">
        <v>300</v>
      </c>
      <c r="D500" s="1" t="s">
        <v>481</v>
      </c>
      <c r="E500" s="1">
        <v>13</v>
      </c>
      <c r="F500" s="3">
        <v>810</v>
      </c>
      <c r="G500" s="1">
        <v>6</v>
      </c>
      <c r="H500" s="1" t="s">
        <v>1359</v>
      </c>
      <c r="I500" s="1" t="s">
        <v>483</v>
      </c>
      <c r="J500" s="1" t="s">
        <v>16</v>
      </c>
      <c r="K500" s="1" t="s">
        <v>1356</v>
      </c>
      <c r="L500" s="1" t="s">
        <v>1154</v>
      </c>
      <c r="M500">
        <f t="shared" si="49"/>
        <v>300</v>
      </c>
      <c r="N500" t="str">
        <f t="shared" si="50"/>
        <v>1951-03-09</v>
      </c>
      <c r="O500">
        <f t="shared" si="51"/>
        <v>60</v>
      </c>
      <c r="P500" t="str">
        <f t="shared" si="52"/>
        <v>kobieta</v>
      </c>
      <c r="Q500">
        <f t="shared" si="53"/>
        <v>34</v>
      </c>
      <c r="R500">
        <f t="shared" si="54"/>
        <v>48</v>
      </c>
      <c r="S500">
        <f t="shared" ca="1" si="55"/>
        <v>0</v>
      </c>
    </row>
    <row r="501" spans="1:19">
      <c r="A501" s="1" t="s">
        <v>19</v>
      </c>
      <c r="B501" s="2">
        <v>1000</v>
      </c>
      <c r="C501" s="1">
        <v>600</v>
      </c>
      <c r="D501" s="1" t="s">
        <v>1360</v>
      </c>
      <c r="E501" s="1">
        <v>11</v>
      </c>
      <c r="F501" s="3">
        <v>2500</v>
      </c>
      <c r="G501" s="1">
        <v>0</v>
      </c>
      <c r="H501" s="1" t="s">
        <v>1361</v>
      </c>
      <c r="I501" s="1" t="s">
        <v>1362</v>
      </c>
      <c r="J501" s="1" t="s">
        <v>16</v>
      </c>
      <c r="K501" s="1" t="s">
        <v>1356</v>
      </c>
      <c r="L501" s="1" t="s">
        <v>1103</v>
      </c>
      <c r="M501">
        <f t="shared" si="49"/>
        <v>600</v>
      </c>
      <c r="N501" t="str">
        <f t="shared" si="50"/>
        <v>1962-12-21</v>
      </c>
      <c r="O501">
        <f t="shared" si="51"/>
        <v>49</v>
      </c>
      <c r="P501" t="str">
        <f t="shared" si="52"/>
        <v>mężczyzna</v>
      </c>
      <c r="Q501">
        <f t="shared" si="53"/>
        <v>375</v>
      </c>
      <c r="R501">
        <f t="shared" si="54"/>
        <v>48</v>
      </c>
      <c r="S501">
        <f t="shared" ca="1" si="55"/>
        <v>3</v>
      </c>
    </row>
    <row r="502" spans="1:19">
      <c r="A502" s="1" t="s">
        <v>19</v>
      </c>
      <c r="B502" s="2">
        <v>800</v>
      </c>
      <c r="C502" s="1">
        <v>800</v>
      </c>
      <c r="D502" s="1" t="s">
        <v>575</v>
      </c>
      <c r="E502" s="1">
        <v>13</v>
      </c>
      <c r="F502" s="3">
        <v>5100</v>
      </c>
      <c r="G502" s="1">
        <v>1</v>
      </c>
      <c r="H502" s="1" t="s">
        <v>1363</v>
      </c>
      <c r="I502" s="1" t="s">
        <v>577</v>
      </c>
      <c r="J502" s="1" t="s">
        <v>16</v>
      </c>
      <c r="K502" s="1" t="s">
        <v>1356</v>
      </c>
      <c r="L502" s="1" t="s">
        <v>1150</v>
      </c>
      <c r="M502">
        <f t="shared" si="49"/>
        <v>800</v>
      </c>
      <c r="N502" t="str">
        <f t="shared" si="50"/>
        <v>1950-08-28</v>
      </c>
      <c r="O502">
        <f t="shared" si="51"/>
        <v>61</v>
      </c>
      <c r="P502" t="str">
        <f t="shared" si="52"/>
        <v>kobieta</v>
      </c>
      <c r="Q502">
        <f t="shared" si="53"/>
        <v>29</v>
      </c>
      <c r="R502">
        <f t="shared" si="54"/>
        <v>48</v>
      </c>
      <c r="S502">
        <f t="shared" ca="1" si="55"/>
        <v>0</v>
      </c>
    </row>
    <row r="503" spans="1:19">
      <c r="A503" s="1" t="s">
        <v>19</v>
      </c>
      <c r="B503" s="2">
        <v>500</v>
      </c>
      <c r="C503" s="1">
        <v>500</v>
      </c>
      <c r="D503" s="1" t="s">
        <v>545</v>
      </c>
      <c r="E503" s="1">
        <v>11</v>
      </c>
      <c r="F503" s="3">
        <v>1800</v>
      </c>
      <c r="G503" s="1">
        <v>6</v>
      </c>
      <c r="H503" s="1" t="s">
        <v>1364</v>
      </c>
      <c r="I503" s="1" t="s">
        <v>547</v>
      </c>
      <c r="J503" s="1" t="s">
        <v>16</v>
      </c>
      <c r="K503" s="1" t="s">
        <v>1356</v>
      </c>
      <c r="L503" s="1" t="s">
        <v>1103</v>
      </c>
      <c r="M503">
        <f t="shared" si="49"/>
        <v>500</v>
      </c>
      <c r="N503" t="str">
        <f t="shared" si="50"/>
        <v>1962-10-31</v>
      </c>
      <c r="O503">
        <f t="shared" si="51"/>
        <v>49</v>
      </c>
      <c r="P503" t="str">
        <f t="shared" si="52"/>
        <v>kobieta</v>
      </c>
      <c r="Q503">
        <f t="shared" si="53"/>
        <v>54</v>
      </c>
      <c r="R503">
        <f t="shared" si="54"/>
        <v>48</v>
      </c>
      <c r="S503">
        <f t="shared" ca="1" si="55"/>
        <v>3</v>
      </c>
    </row>
    <row r="504" spans="1:19">
      <c r="A504" s="1" t="s">
        <v>309</v>
      </c>
      <c r="B504" s="2">
        <v>400</v>
      </c>
      <c r="C504" s="1">
        <v>400</v>
      </c>
      <c r="D504" s="1" t="s">
        <v>436</v>
      </c>
      <c r="E504" s="1">
        <v>11</v>
      </c>
      <c r="F504" s="3">
        <v>800.51</v>
      </c>
      <c r="G504" s="1">
        <v>0</v>
      </c>
      <c r="H504" s="1" t="s">
        <v>1365</v>
      </c>
      <c r="I504" s="1" t="s">
        <v>438</v>
      </c>
      <c r="J504" s="1" t="s">
        <v>16</v>
      </c>
      <c r="K504" s="1" t="s">
        <v>1356</v>
      </c>
      <c r="L504" s="1" t="s">
        <v>1366</v>
      </c>
      <c r="M504">
        <f t="shared" si="49"/>
        <v>400</v>
      </c>
      <c r="N504" t="str">
        <f t="shared" si="50"/>
        <v>1973-11-25</v>
      </c>
      <c r="O504">
        <f t="shared" si="51"/>
        <v>38</v>
      </c>
      <c r="P504" t="str">
        <f t="shared" si="52"/>
        <v>kobieta</v>
      </c>
      <c r="Q504">
        <f t="shared" si="53"/>
        <v>21</v>
      </c>
      <c r="R504">
        <f t="shared" si="54"/>
        <v>48</v>
      </c>
      <c r="S504">
        <f t="shared" ca="1" si="55"/>
        <v>332</v>
      </c>
    </row>
    <row r="505" spans="1:19">
      <c r="A505" s="1" t="s">
        <v>19</v>
      </c>
      <c r="B505" s="2">
        <v>400</v>
      </c>
      <c r="C505" s="1">
        <v>400</v>
      </c>
      <c r="D505" s="1" t="s">
        <v>514</v>
      </c>
      <c r="E505" s="1">
        <v>13</v>
      </c>
      <c r="F505" s="3">
        <v>1900</v>
      </c>
      <c r="G505" s="1">
        <v>2</v>
      </c>
      <c r="H505" s="1" t="s">
        <v>1367</v>
      </c>
      <c r="I505" s="1" t="s">
        <v>319</v>
      </c>
      <c r="J505" s="1" t="s">
        <v>16</v>
      </c>
      <c r="K505" s="1" t="s">
        <v>1356</v>
      </c>
      <c r="L505" s="1" t="s">
        <v>1150</v>
      </c>
      <c r="M505">
        <f t="shared" si="49"/>
        <v>400</v>
      </c>
      <c r="N505" t="str">
        <f t="shared" si="50"/>
        <v>1936-04-01</v>
      </c>
      <c r="O505">
        <f t="shared" si="51"/>
        <v>75</v>
      </c>
      <c r="P505" t="str">
        <f t="shared" si="52"/>
        <v>kobieta</v>
      </c>
      <c r="Q505">
        <f t="shared" si="53"/>
        <v>122</v>
      </c>
      <c r="R505">
        <f t="shared" si="54"/>
        <v>48</v>
      </c>
      <c r="S505">
        <f t="shared" ca="1" si="55"/>
        <v>0</v>
      </c>
    </row>
    <row r="506" spans="1:19">
      <c r="A506" s="1" t="s">
        <v>12</v>
      </c>
      <c r="B506" s="2">
        <v>428.68</v>
      </c>
      <c r="C506" s="1">
        <v>428.68</v>
      </c>
      <c r="D506" s="1" t="s">
        <v>208</v>
      </c>
      <c r="E506" s="1">
        <v>16</v>
      </c>
      <c r="F506" s="3">
        <v>588</v>
      </c>
      <c r="G506" s="1">
        <v>2</v>
      </c>
      <c r="H506" s="1" t="s">
        <v>1368</v>
      </c>
      <c r="I506" s="1" t="s">
        <v>210</v>
      </c>
      <c r="J506" s="1" t="s">
        <v>16</v>
      </c>
      <c r="K506" s="1" t="s">
        <v>1356</v>
      </c>
      <c r="L506" s="1" t="s">
        <v>18</v>
      </c>
      <c r="M506">
        <f t="shared" si="49"/>
        <v>428.68</v>
      </c>
      <c r="N506" t="str">
        <f t="shared" si="50"/>
        <v>1956-03-30</v>
      </c>
      <c r="O506">
        <f t="shared" si="51"/>
        <v>55</v>
      </c>
      <c r="P506" t="str">
        <f t="shared" si="52"/>
        <v>mężczyzna</v>
      </c>
      <c r="Q506">
        <f t="shared" si="53"/>
        <v>423</v>
      </c>
      <c r="R506">
        <f t="shared" si="54"/>
        <v>48</v>
      </c>
      <c r="S506">
        <f t="shared" ca="1" si="55"/>
        <v>6</v>
      </c>
    </row>
    <row r="507" spans="1:19">
      <c r="A507" s="1" t="s">
        <v>19</v>
      </c>
      <c r="B507" s="2">
        <v>349.66</v>
      </c>
      <c r="C507" s="1">
        <v>349.66</v>
      </c>
      <c r="D507" s="1" t="s">
        <v>559</v>
      </c>
      <c r="E507" s="1">
        <v>13</v>
      </c>
      <c r="F507" s="3">
        <v>1601.87</v>
      </c>
      <c r="G507" s="1">
        <v>2</v>
      </c>
      <c r="H507" s="1" t="s">
        <v>1369</v>
      </c>
      <c r="I507" s="1" t="s">
        <v>561</v>
      </c>
      <c r="J507" s="1" t="s">
        <v>16</v>
      </c>
      <c r="K507" s="1" t="s">
        <v>1370</v>
      </c>
      <c r="L507" s="1" t="s">
        <v>1127</v>
      </c>
      <c r="M507">
        <f t="shared" si="49"/>
        <v>349.66</v>
      </c>
      <c r="N507" t="str">
        <f t="shared" si="50"/>
        <v>1947-10-25</v>
      </c>
      <c r="O507">
        <f t="shared" si="51"/>
        <v>64</v>
      </c>
      <c r="P507" t="str">
        <f t="shared" si="52"/>
        <v>mężczyzna</v>
      </c>
      <c r="Q507">
        <f t="shared" si="53"/>
        <v>46</v>
      </c>
      <c r="R507">
        <f t="shared" si="54"/>
        <v>48</v>
      </c>
      <c r="S507">
        <f t="shared" ca="1" si="55"/>
        <v>2</v>
      </c>
    </row>
    <row r="508" spans="1:19">
      <c r="A508" s="1" t="s">
        <v>19</v>
      </c>
      <c r="B508" s="2">
        <v>400</v>
      </c>
      <c r="C508" s="1">
        <v>400</v>
      </c>
      <c r="D508" s="1" t="s">
        <v>1371</v>
      </c>
      <c r="E508" s="1">
        <v>13</v>
      </c>
      <c r="F508" s="3">
        <v>1162.4100000000001</v>
      </c>
      <c r="G508" s="1">
        <v>0</v>
      </c>
      <c r="H508" s="1" t="s">
        <v>1372</v>
      </c>
      <c r="I508" s="1" t="s">
        <v>1373</v>
      </c>
      <c r="J508" s="1" t="s">
        <v>16</v>
      </c>
      <c r="K508" s="1" t="s">
        <v>1370</v>
      </c>
      <c r="L508" s="1" t="s">
        <v>1103</v>
      </c>
      <c r="M508">
        <f t="shared" si="49"/>
        <v>400</v>
      </c>
      <c r="N508" t="str">
        <f t="shared" si="50"/>
        <v>1943-02-21</v>
      </c>
      <c r="O508">
        <f t="shared" si="51"/>
        <v>68</v>
      </c>
      <c r="P508" t="str">
        <f t="shared" si="52"/>
        <v>mężczyzna</v>
      </c>
      <c r="Q508">
        <f t="shared" si="53"/>
        <v>105</v>
      </c>
      <c r="R508">
        <f t="shared" si="54"/>
        <v>48</v>
      </c>
      <c r="S508">
        <f t="shared" ca="1" si="55"/>
        <v>0</v>
      </c>
    </row>
    <row r="509" spans="1:19">
      <c r="A509" s="1" t="s">
        <v>19</v>
      </c>
      <c r="B509" s="2">
        <v>400</v>
      </c>
      <c r="C509" s="1">
        <v>400</v>
      </c>
      <c r="D509" s="1" t="s">
        <v>429</v>
      </c>
      <c r="E509" s="1">
        <v>12</v>
      </c>
      <c r="F509" s="3">
        <v>1963.88</v>
      </c>
      <c r="G509" s="1">
        <v>5</v>
      </c>
      <c r="H509" s="1" t="s">
        <v>1374</v>
      </c>
      <c r="I509" s="1" t="s">
        <v>431</v>
      </c>
      <c r="J509" s="1" t="s">
        <v>396</v>
      </c>
      <c r="K509" s="1" t="s">
        <v>1370</v>
      </c>
      <c r="L509" s="1" t="s">
        <v>1236</v>
      </c>
      <c r="M509">
        <f t="shared" si="49"/>
        <v>400</v>
      </c>
      <c r="N509" t="str">
        <f t="shared" si="50"/>
        <v>1967-05-18</v>
      </c>
      <c r="O509">
        <f t="shared" si="51"/>
        <v>44</v>
      </c>
      <c r="P509" t="str">
        <f t="shared" si="52"/>
        <v>mężczyzna</v>
      </c>
      <c r="Q509">
        <f t="shared" si="53"/>
        <v>7</v>
      </c>
      <c r="R509">
        <f t="shared" si="54"/>
        <v>1</v>
      </c>
      <c r="S509">
        <f t="shared" ca="1" si="55"/>
        <v>8</v>
      </c>
    </row>
    <row r="510" spans="1:19">
      <c r="A510" s="1" t="s">
        <v>12</v>
      </c>
      <c r="B510" s="2">
        <v>200</v>
      </c>
      <c r="C510" s="1">
        <v>200</v>
      </c>
      <c r="D510" s="1" t="s">
        <v>1375</v>
      </c>
      <c r="E510" s="1">
        <v>13</v>
      </c>
      <c r="F510" s="3">
        <v>819</v>
      </c>
      <c r="G510" s="1">
        <v>0</v>
      </c>
      <c r="H510" s="1" t="s">
        <v>1376</v>
      </c>
      <c r="I510" s="1" t="s">
        <v>916</v>
      </c>
      <c r="J510" s="1" t="s">
        <v>16</v>
      </c>
      <c r="K510" s="1" t="s">
        <v>1370</v>
      </c>
      <c r="L510" s="1" t="s">
        <v>313</v>
      </c>
      <c r="M510">
        <f t="shared" si="49"/>
        <v>200</v>
      </c>
      <c r="N510" t="str">
        <f t="shared" si="50"/>
        <v>1954-11-25</v>
      </c>
      <c r="O510">
        <f t="shared" si="51"/>
        <v>57</v>
      </c>
      <c r="P510" t="str">
        <f t="shared" si="52"/>
        <v>mężczyzna</v>
      </c>
      <c r="Q510">
        <f t="shared" si="53"/>
        <v>58</v>
      </c>
      <c r="R510">
        <f t="shared" si="54"/>
        <v>48</v>
      </c>
      <c r="S510">
        <f t="shared" ca="1" si="55"/>
        <v>0</v>
      </c>
    </row>
    <row r="511" spans="1:19">
      <c r="A511" s="1" t="s">
        <v>19</v>
      </c>
      <c r="B511" s="2">
        <v>1000</v>
      </c>
      <c r="C511" s="1">
        <v>1000</v>
      </c>
      <c r="D511" s="1" t="s">
        <v>1377</v>
      </c>
      <c r="E511" s="1">
        <v>11</v>
      </c>
      <c r="F511" s="3">
        <v>1900</v>
      </c>
      <c r="G511" s="1">
        <v>0</v>
      </c>
      <c r="H511" s="1" t="s">
        <v>1378</v>
      </c>
      <c r="I511" s="1" t="s">
        <v>1379</v>
      </c>
      <c r="J511" s="1" t="s">
        <v>16</v>
      </c>
      <c r="K511" s="1" t="s">
        <v>1370</v>
      </c>
      <c r="L511" s="1" t="s">
        <v>18</v>
      </c>
      <c r="M511">
        <f t="shared" si="49"/>
        <v>1000</v>
      </c>
      <c r="N511" t="str">
        <f t="shared" si="50"/>
        <v>1975-02-04</v>
      </c>
      <c r="O511">
        <f t="shared" si="51"/>
        <v>36</v>
      </c>
      <c r="P511" t="str">
        <f t="shared" si="52"/>
        <v>kobieta</v>
      </c>
      <c r="Q511">
        <f t="shared" si="53"/>
        <v>180</v>
      </c>
      <c r="R511">
        <f t="shared" si="54"/>
        <v>48</v>
      </c>
      <c r="S511">
        <f t="shared" ca="1" si="55"/>
        <v>3</v>
      </c>
    </row>
    <row r="512" spans="1:19">
      <c r="A512" s="1" t="s">
        <v>12</v>
      </c>
      <c r="B512" s="2">
        <v>316.68</v>
      </c>
      <c r="C512" s="1">
        <v>316.68</v>
      </c>
      <c r="D512" s="1" t="s">
        <v>155</v>
      </c>
      <c r="E512" s="1">
        <v>98</v>
      </c>
      <c r="F512" s="3">
        <v>3178</v>
      </c>
      <c r="G512" s="1">
        <v>0</v>
      </c>
      <c r="H512" s="1" t="s">
        <v>1380</v>
      </c>
      <c r="I512" s="1" t="s">
        <v>157</v>
      </c>
      <c r="J512" s="1" t="s">
        <v>16</v>
      </c>
      <c r="K512" s="1" t="s">
        <v>1370</v>
      </c>
      <c r="L512" s="1" t="s">
        <v>1381</v>
      </c>
      <c r="M512">
        <f t="shared" si="49"/>
        <v>316.68</v>
      </c>
      <c r="N512" t="str">
        <f t="shared" si="50"/>
        <v>1968-05-28</v>
      </c>
      <c r="O512">
        <f t="shared" si="51"/>
        <v>43</v>
      </c>
      <c r="P512" t="str">
        <f t="shared" si="52"/>
        <v>mężczyzna</v>
      </c>
      <c r="Q512">
        <f t="shared" si="53"/>
        <v>202</v>
      </c>
      <c r="R512">
        <f t="shared" si="54"/>
        <v>48</v>
      </c>
      <c r="S512">
        <f t="shared" ca="1" si="55"/>
        <v>71</v>
      </c>
    </row>
    <row r="513" spans="1:19">
      <c r="A513" s="1" t="s">
        <v>19</v>
      </c>
      <c r="B513" s="2">
        <v>200</v>
      </c>
      <c r="C513" s="1">
        <v>200</v>
      </c>
      <c r="D513" s="1" t="s">
        <v>645</v>
      </c>
      <c r="E513" s="1">
        <v>99</v>
      </c>
      <c r="F513" s="3">
        <v>780</v>
      </c>
      <c r="G513" s="1">
        <v>2</v>
      </c>
      <c r="H513" s="1" t="s">
        <v>1382</v>
      </c>
      <c r="I513" s="1" t="s">
        <v>647</v>
      </c>
      <c r="J513" s="1" t="s">
        <v>353</v>
      </c>
      <c r="K513" s="1" t="s">
        <v>1370</v>
      </c>
      <c r="L513" s="1" t="s">
        <v>18</v>
      </c>
      <c r="M513">
        <f t="shared" si="49"/>
        <v>200</v>
      </c>
      <c r="N513" t="str">
        <f t="shared" si="50"/>
        <v>1954-12-19</v>
      </c>
      <c r="O513">
        <f t="shared" si="51"/>
        <v>57</v>
      </c>
      <c r="P513" t="str">
        <f t="shared" si="52"/>
        <v>kobieta</v>
      </c>
      <c r="Q513">
        <f t="shared" si="53"/>
        <v>2</v>
      </c>
      <c r="R513">
        <f t="shared" si="54"/>
        <v>1</v>
      </c>
      <c r="S513">
        <f t="shared" ca="1" si="55"/>
        <v>3</v>
      </c>
    </row>
    <row r="514" spans="1:19">
      <c r="A514" s="1" t="s">
        <v>19</v>
      </c>
      <c r="B514" s="2">
        <v>200</v>
      </c>
      <c r="C514" s="1">
        <v>200</v>
      </c>
      <c r="D514" s="1" t="s">
        <v>555</v>
      </c>
      <c r="E514" s="1">
        <v>99</v>
      </c>
      <c r="F514" s="3">
        <v>1100</v>
      </c>
      <c r="G514" s="1">
        <v>3</v>
      </c>
      <c r="H514" s="1" t="s">
        <v>1383</v>
      </c>
      <c r="I514" s="1" t="s">
        <v>557</v>
      </c>
      <c r="J514" s="1" t="s">
        <v>1384</v>
      </c>
      <c r="K514" s="1" t="s">
        <v>1370</v>
      </c>
      <c r="L514" s="1" t="s">
        <v>1103</v>
      </c>
      <c r="M514">
        <f t="shared" si="49"/>
        <v>200</v>
      </c>
      <c r="N514" t="str">
        <f t="shared" si="50"/>
        <v>1958-10-15</v>
      </c>
      <c r="O514">
        <f t="shared" si="51"/>
        <v>53</v>
      </c>
      <c r="P514" t="str">
        <f t="shared" si="52"/>
        <v>kobieta</v>
      </c>
      <c r="Q514">
        <f t="shared" si="53"/>
        <v>53</v>
      </c>
      <c r="R514">
        <f t="shared" si="54"/>
        <v>1</v>
      </c>
      <c r="S514">
        <f t="shared" ca="1" si="55"/>
        <v>0</v>
      </c>
    </row>
    <row r="515" spans="1:19">
      <c r="A515" s="1" t="s">
        <v>12</v>
      </c>
      <c r="B515" s="2">
        <v>300</v>
      </c>
      <c r="C515" s="1">
        <v>200</v>
      </c>
      <c r="D515" s="1" t="s">
        <v>1385</v>
      </c>
      <c r="E515" s="1">
        <v>13</v>
      </c>
      <c r="F515" s="3">
        <v>634.64</v>
      </c>
      <c r="G515" s="1">
        <v>0</v>
      </c>
      <c r="H515" s="1" t="s">
        <v>1386</v>
      </c>
      <c r="I515" s="1" t="s">
        <v>1387</v>
      </c>
      <c r="J515" s="1" t="s">
        <v>16</v>
      </c>
      <c r="K515" s="1" t="s">
        <v>1370</v>
      </c>
      <c r="L515" s="1" t="s">
        <v>1103</v>
      </c>
      <c r="M515">
        <f t="shared" ref="M515:M578" si="56">IF(A515="odmowa", B515,C515)</f>
        <v>200</v>
      </c>
      <c r="N515" t="str">
        <f t="shared" ref="N515:N578" si="57">CONCATENATE("19", MID(D515, 1, 2), "-", MID(D515, 3, 2), "-", MID(D515, 5, 2))</f>
        <v>1940-12-24</v>
      </c>
      <c r="O515">
        <f t="shared" ref="O515:O578" si="58">YEAR(H515) - YEAR(N515)</f>
        <v>71</v>
      </c>
      <c r="P515" t="str">
        <f t="shared" ref="P515:P578" si="59">IF(MOD(MID(D515, 10, 1), 2)=0, "kobieta", "mężczyzna")</f>
        <v>kobieta</v>
      </c>
      <c r="Q515">
        <f t="shared" ref="Q515:Q578" si="60">(YEAR(H515) - YEAR(I515)) * 12 + MONTH(H515) - MONTH(I515)</f>
        <v>252</v>
      </c>
      <c r="R515">
        <f t="shared" ref="R515:R578" si="61">IF(LEFT(J515, 4)="0000", 48, MIN(48, (YEAR(J515) - YEAR(H515)) * 12 + MONTH(J515) - MONTH(H515)))</f>
        <v>48</v>
      </c>
      <c r="S515">
        <f t="shared" ref="S515:S578" ca="1" si="62">IF(LEFT(K515, 4)="0000", 0, IF(LEFT(L515, 4)="0000", MAX(0, TODAY() - K515), MAX(0, L515 - K515)))</f>
        <v>0</v>
      </c>
    </row>
    <row r="516" spans="1:19">
      <c r="A516" s="1" t="s">
        <v>24</v>
      </c>
      <c r="B516" s="2">
        <v>600</v>
      </c>
      <c r="C516" s="1">
        <v>0</v>
      </c>
      <c r="D516" s="1" t="s">
        <v>1388</v>
      </c>
      <c r="E516" s="1">
        <v>12</v>
      </c>
      <c r="F516" s="3">
        <v>1573</v>
      </c>
      <c r="G516" s="1">
        <v>0</v>
      </c>
      <c r="H516" s="1" t="s">
        <v>1389</v>
      </c>
      <c r="I516" s="1" t="s">
        <v>1390</v>
      </c>
      <c r="J516" s="1" t="s">
        <v>1391</v>
      </c>
      <c r="K516" s="1" t="s">
        <v>16</v>
      </c>
      <c r="L516" s="1" t="s">
        <v>28</v>
      </c>
      <c r="M516">
        <f t="shared" si="56"/>
        <v>600</v>
      </c>
      <c r="N516" t="str">
        <f t="shared" si="57"/>
        <v>1969-03-13</v>
      </c>
      <c r="O516">
        <f t="shared" si="58"/>
        <v>42</v>
      </c>
      <c r="P516" t="str">
        <f t="shared" si="59"/>
        <v>mężczyzna</v>
      </c>
      <c r="Q516">
        <f t="shared" si="60"/>
        <v>6</v>
      </c>
      <c r="R516">
        <f t="shared" si="61"/>
        <v>22</v>
      </c>
      <c r="S516">
        <f t="shared" ca="1" si="62"/>
        <v>0</v>
      </c>
    </row>
    <row r="517" spans="1:19">
      <c r="A517" s="1" t="s">
        <v>19</v>
      </c>
      <c r="B517" s="2">
        <v>700</v>
      </c>
      <c r="C517" s="1">
        <v>700</v>
      </c>
      <c r="D517" s="1" t="s">
        <v>596</v>
      </c>
      <c r="E517" s="1">
        <v>13</v>
      </c>
      <c r="F517" s="3">
        <v>1400</v>
      </c>
      <c r="G517" s="1">
        <v>1</v>
      </c>
      <c r="H517" s="1" t="s">
        <v>1392</v>
      </c>
      <c r="I517" s="1" t="s">
        <v>136</v>
      </c>
      <c r="J517" s="1" t="s">
        <v>16</v>
      </c>
      <c r="K517" s="1" t="s">
        <v>1370</v>
      </c>
      <c r="L517" s="1" t="s">
        <v>1103</v>
      </c>
      <c r="M517">
        <f t="shared" si="56"/>
        <v>700</v>
      </c>
      <c r="N517" t="str">
        <f t="shared" si="57"/>
        <v>1952-03-12</v>
      </c>
      <c r="O517">
        <f t="shared" si="58"/>
        <v>59</v>
      </c>
      <c r="P517" t="str">
        <f t="shared" si="59"/>
        <v>kobieta</v>
      </c>
      <c r="Q517">
        <f t="shared" si="60"/>
        <v>247</v>
      </c>
      <c r="R517">
        <f t="shared" si="61"/>
        <v>48</v>
      </c>
      <c r="S517">
        <f t="shared" ca="1" si="62"/>
        <v>0</v>
      </c>
    </row>
    <row r="518" spans="1:19">
      <c r="A518" s="1" t="s">
        <v>309</v>
      </c>
      <c r="B518" s="2">
        <v>300</v>
      </c>
      <c r="C518" s="1">
        <v>300</v>
      </c>
      <c r="D518" s="1" t="s">
        <v>1393</v>
      </c>
      <c r="E518" s="1">
        <v>12</v>
      </c>
      <c r="F518" s="3">
        <v>1400</v>
      </c>
      <c r="G518" s="1">
        <v>0</v>
      </c>
      <c r="H518" s="1" t="s">
        <v>1394</v>
      </c>
      <c r="I518" s="1" t="s">
        <v>395</v>
      </c>
      <c r="J518" s="1" t="s">
        <v>1395</v>
      </c>
      <c r="K518" s="1" t="s">
        <v>1370</v>
      </c>
      <c r="L518" s="1" t="s">
        <v>1212</v>
      </c>
      <c r="M518">
        <f t="shared" si="56"/>
        <v>300</v>
      </c>
      <c r="N518" t="str">
        <f t="shared" si="57"/>
        <v>1986-09-19</v>
      </c>
      <c r="O518">
        <f t="shared" si="58"/>
        <v>25</v>
      </c>
      <c r="P518" t="str">
        <f t="shared" si="59"/>
        <v>mężczyzna</v>
      </c>
      <c r="Q518">
        <f t="shared" si="60"/>
        <v>13</v>
      </c>
      <c r="R518">
        <f t="shared" si="61"/>
        <v>19</v>
      </c>
      <c r="S518">
        <f t="shared" ca="1" si="62"/>
        <v>6</v>
      </c>
    </row>
    <row r="519" spans="1:19">
      <c r="A519" s="1" t="s">
        <v>19</v>
      </c>
      <c r="B519" s="2">
        <v>700</v>
      </c>
      <c r="C519" s="1">
        <v>300</v>
      </c>
      <c r="D519" s="1" t="s">
        <v>1396</v>
      </c>
      <c r="E519" s="1">
        <v>13</v>
      </c>
      <c r="F519" s="3">
        <v>1087</v>
      </c>
      <c r="G519" s="1">
        <v>0</v>
      </c>
      <c r="H519" s="1" t="s">
        <v>1397</v>
      </c>
      <c r="I519" s="1" t="s">
        <v>230</v>
      </c>
      <c r="J519" s="1" t="s">
        <v>16</v>
      </c>
      <c r="K519" s="1" t="s">
        <v>1370</v>
      </c>
      <c r="L519" s="1" t="s">
        <v>18</v>
      </c>
      <c r="M519">
        <f t="shared" si="56"/>
        <v>300</v>
      </c>
      <c r="N519" t="str">
        <f t="shared" si="57"/>
        <v>1951-03-01</v>
      </c>
      <c r="O519">
        <f t="shared" si="58"/>
        <v>60</v>
      </c>
      <c r="P519" t="str">
        <f t="shared" si="59"/>
        <v>kobieta</v>
      </c>
      <c r="Q519">
        <f t="shared" si="60"/>
        <v>72</v>
      </c>
      <c r="R519">
        <f t="shared" si="61"/>
        <v>48</v>
      </c>
      <c r="S519">
        <f t="shared" ca="1" si="62"/>
        <v>3</v>
      </c>
    </row>
    <row r="520" spans="1:19">
      <c r="A520" s="1" t="s">
        <v>24</v>
      </c>
      <c r="B520" s="2">
        <v>700</v>
      </c>
      <c r="C520" s="1">
        <v>0</v>
      </c>
      <c r="D520" s="1" t="s">
        <v>1398</v>
      </c>
      <c r="E520" s="1">
        <v>11</v>
      </c>
      <c r="F520" s="3">
        <v>2585</v>
      </c>
      <c r="G520" s="1">
        <v>0</v>
      </c>
      <c r="H520" s="1" t="s">
        <v>1399</v>
      </c>
      <c r="I520" s="1" t="s">
        <v>538</v>
      </c>
      <c r="J520" s="1" t="s">
        <v>16</v>
      </c>
      <c r="K520" s="1" t="s">
        <v>16</v>
      </c>
      <c r="L520" s="1" t="s">
        <v>28</v>
      </c>
      <c r="M520">
        <f t="shared" si="56"/>
        <v>700</v>
      </c>
      <c r="N520" t="str">
        <f t="shared" si="57"/>
        <v>1971-08-20</v>
      </c>
      <c r="O520">
        <f t="shared" si="58"/>
        <v>40</v>
      </c>
      <c r="P520" t="str">
        <f t="shared" si="59"/>
        <v>mężczyzna</v>
      </c>
      <c r="Q520">
        <f t="shared" si="60"/>
        <v>102</v>
      </c>
      <c r="R520">
        <f t="shared" si="61"/>
        <v>48</v>
      </c>
      <c r="S520">
        <f t="shared" ca="1" si="62"/>
        <v>0</v>
      </c>
    </row>
    <row r="521" spans="1:19">
      <c r="A521" s="1" t="s">
        <v>19</v>
      </c>
      <c r="B521" s="2">
        <v>500</v>
      </c>
      <c r="C521" s="1">
        <v>400</v>
      </c>
      <c r="D521" s="1" t="s">
        <v>1400</v>
      </c>
      <c r="E521" s="1">
        <v>13</v>
      </c>
      <c r="F521" s="3">
        <v>1507</v>
      </c>
      <c r="G521" s="1">
        <v>0</v>
      </c>
      <c r="H521" s="1" t="s">
        <v>1401</v>
      </c>
      <c r="I521" s="1" t="s">
        <v>1402</v>
      </c>
      <c r="J521" s="1" t="s">
        <v>16</v>
      </c>
      <c r="K521" s="1" t="s">
        <v>1370</v>
      </c>
      <c r="L521" s="1" t="s">
        <v>1236</v>
      </c>
      <c r="M521">
        <f t="shared" si="56"/>
        <v>400</v>
      </c>
      <c r="N521" t="str">
        <f t="shared" si="57"/>
        <v>1947-06-22</v>
      </c>
      <c r="O521">
        <f t="shared" si="58"/>
        <v>64</v>
      </c>
      <c r="P521" t="str">
        <f t="shared" si="59"/>
        <v>kobieta</v>
      </c>
      <c r="Q521">
        <f t="shared" si="60"/>
        <v>60</v>
      </c>
      <c r="R521">
        <f t="shared" si="61"/>
        <v>48</v>
      </c>
      <c r="S521">
        <f t="shared" ca="1" si="62"/>
        <v>8</v>
      </c>
    </row>
    <row r="522" spans="1:19">
      <c r="A522" s="1" t="s">
        <v>24</v>
      </c>
      <c r="B522" s="2">
        <v>400</v>
      </c>
      <c r="C522" s="1">
        <v>0</v>
      </c>
      <c r="D522" s="1" t="s">
        <v>1403</v>
      </c>
      <c r="E522" s="1">
        <v>12</v>
      </c>
      <c r="F522" s="3">
        <v>1300</v>
      </c>
      <c r="G522" s="1">
        <v>0</v>
      </c>
      <c r="H522" s="1" t="s">
        <v>1404</v>
      </c>
      <c r="I522" s="1" t="s">
        <v>431</v>
      </c>
      <c r="J522" s="1" t="s">
        <v>1405</v>
      </c>
      <c r="K522" s="1" t="s">
        <v>16</v>
      </c>
      <c r="L522" s="1" t="s">
        <v>28</v>
      </c>
      <c r="M522">
        <f t="shared" si="56"/>
        <v>400</v>
      </c>
      <c r="N522" t="str">
        <f t="shared" si="57"/>
        <v>1975-08-18</v>
      </c>
      <c r="O522">
        <f t="shared" si="58"/>
        <v>36</v>
      </c>
      <c r="P522" t="str">
        <f t="shared" si="59"/>
        <v>mężczyzna</v>
      </c>
      <c r="Q522">
        <f t="shared" si="60"/>
        <v>7</v>
      </c>
      <c r="R522">
        <f t="shared" si="61"/>
        <v>6</v>
      </c>
      <c r="S522">
        <f t="shared" ca="1" si="62"/>
        <v>0</v>
      </c>
    </row>
    <row r="523" spans="1:19">
      <c r="A523" s="1" t="s">
        <v>19</v>
      </c>
      <c r="B523" s="2">
        <v>200</v>
      </c>
      <c r="C523" s="1">
        <v>200</v>
      </c>
      <c r="D523" s="1" t="s">
        <v>621</v>
      </c>
      <c r="E523" s="1">
        <v>13</v>
      </c>
      <c r="F523" s="3">
        <v>992.96</v>
      </c>
      <c r="G523" s="1">
        <v>2</v>
      </c>
      <c r="H523" s="1" t="s">
        <v>1406</v>
      </c>
      <c r="I523" s="1" t="s">
        <v>623</v>
      </c>
      <c r="J523" s="1" t="s">
        <v>16</v>
      </c>
      <c r="K523" s="1" t="s">
        <v>1370</v>
      </c>
      <c r="L523" s="1" t="s">
        <v>1154</v>
      </c>
      <c r="M523">
        <f t="shared" si="56"/>
        <v>200</v>
      </c>
      <c r="N523" t="str">
        <f t="shared" si="57"/>
        <v>1950-02-28</v>
      </c>
      <c r="O523">
        <f t="shared" si="58"/>
        <v>61</v>
      </c>
      <c r="P523" t="str">
        <f t="shared" si="59"/>
        <v>kobieta</v>
      </c>
      <c r="Q523">
        <f t="shared" si="60"/>
        <v>13</v>
      </c>
      <c r="R523">
        <f t="shared" si="61"/>
        <v>48</v>
      </c>
      <c r="S523">
        <f t="shared" ca="1" si="62"/>
        <v>0</v>
      </c>
    </row>
    <row r="524" spans="1:19">
      <c r="A524" s="1" t="s">
        <v>19</v>
      </c>
      <c r="B524" s="2">
        <v>300</v>
      </c>
      <c r="C524" s="1">
        <v>300</v>
      </c>
      <c r="D524" s="1" t="s">
        <v>225</v>
      </c>
      <c r="E524" s="1">
        <v>11</v>
      </c>
      <c r="F524" s="3">
        <v>1077.49</v>
      </c>
      <c r="G524" s="1">
        <v>0</v>
      </c>
      <c r="H524" s="1" t="s">
        <v>1407</v>
      </c>
      <c r="I524" s="1" t="s">
        <v>227</v>
      </c>
      <c r="J524" s="1" t="s">
        <v>16</v>
      </c>
      <c r="K524" s="1" t="s">
        <v>1370</v>
      </c>
      <c r="L524" s="1" t="s">
        <v>1154</v>
      </c>
      <c r="M524">
        <f t="shared" si="56"/>
        <v>300</v>
      </c>
      <c r="N524" t="str">
        <f t="shared" si="57"/>
        <v>1963-09-03</v>
      </c>
      <c r="O524">
        <f t="shared" si="58"/>
        <v>48</v>
      </c>
      <c r="P524" t="str">
        <f t="shared" si="59"/>
        <v>kobieta</v>
      </c>
      <c r="Q524">
        <f t="shared" si="60"/>
        <v>373</v>
      </c>
      <c r="R524">
        <f t="shared" si="61"/>
        <v>48</v>
      </c>
      <c r="S524">
        <f t="shared" ca="1" si="62"/>
        <v>0</v>
      </c>
    </row>
    <row r="525" spans="1:19">
      <c r="A525" s="1" t="s">
        <v>19</v>
      </c>
      <c r="B525" s="2">
        <v>200</v>
      </c>
      <c r="C525" s="1">
        <v>200</v>
      </c>
      <c r="D525" s="1" t="s">
        <v>642</v>
      </c>
      <c r="E525" s="1">
        <v>13</v>
      </c>
      <c r="F525" s="3">
        <v>984</v>
      </c>
      <c r="G525" s="1">
        <v>1</v>
      </c>
      <c r="H525" s="1" t="s">
        <v>1408</v>
      </c>
      <c r="I525" s="1" t="s">
        <v>644</v>
      </c>
      <c r="J525" s="1" t="s">
        <v>16</v>
      </c>
      <c r="K525" s="1" t="s">
        <v>1370</v>
      </c>
      <c r="L525" s="1" t="s">
        <v>1150</v>
      </c>
      <c r="M525">
        <f t="shared" si="56"/>
        <v>200</v>
      </c>
      <c r="N525" t="str">
        <f t="shared" si="57"/>
        <v>1950-07-18</v>
      </c>
      <c r="O525">
        <f t="shared" si="58"/>
        <v>61</v>
      </c>
      <c r="P525" t="str">
        <f t="shared" si="59"/>
        <v>kobieta</v>
      </c>
      <c r="Q525">
        <f t="shared" si="60"/>
        <v>12</v>
      </c>
      <c r="R525">
        <f t="shared" si="61"/>
        <v>48</v>
      </c>
      <c r="S525">
        <f t="shared" ca="1" si="62"/>
        <v>0</v>
      </c>
    </row>
    <row r="526" spans="1:19">
      <c r="A526" s="1" t="s">
        <v>24</v>
      </c>
      <c r="B526" s="2">
        <v>200</v>
      </c>
      <c r="C526" s="1">
        <v>0</v>
      </c>
      <c r="D526" s="1" t="s">
        <v>1409</v>
      </c>
      <c r="E526" s="1">
        <v>16</v>
      </c>
      <c r="F526" s="3">
        <v>540.62</v>
      </c>
      <c r="G526" s="1">
        <v>0</v>
      </c>
      <c r="H526" s="1" t="s">
        <v>1410</v>
      </c>
      <c r="I526" s="1" t="s">
        <v>1411</v>
      </c>
      <c r="J526" s="1" t="s">
        <v>16</v>
      </c>
      <c r="K526" s="1" t="s">
        <v>16</v>
      </c>
      <c r="L526" s="1" t="s">
        <v>28</v>
      </c>
      <c r="M526">
        <f t="shared" si="56"/>
        <v>200</v>
      </c>
      <c r="N526" t="str">
        <f t="shared" si="57"/>
        <v>1990-01-10</v>
      </c>
      <c r="O526">
        <f t="shared" si="58"/>
        <v>21</v>
      </c>
      <c r="P526" t="str">
        <f t="shared" si="59"/>
        <v>kobieta</v>
      </c>
      <c r="Q526">
        <f t="shared" si="60"/>
        <v>8</v>
      </c>
      <c r="R526">
        <f t="shared" si="61"/>
        <v>48</v>
      </c>
      <c r="S526">
        <f t="shared" ca="1" si="62"/>
        <v>0</v>
      </c>
    </row>
    <row r="527" spans="1:19">
      <c r="A527" s="1" t="s">
        <v>24</v>
      </c>
      <c r="B527" s="2">
        <v>700</v>
      </c>
      <c r="C527" s="1">
        <v>0</v>
      </c>
      <c r="D527" s="1" t="s">
        <v>1412</v>
      </c>
      <c r="E527" s="1">
        <v>16</v>
      </c>
      <c r="F527" s="3">
        <v>660</v>
      </c>
      <c r="G527" s="1">
        <v>0</v>
      </c>
      <c r="H527" s="1" t="s">
        <v>1413</v>
      </c>
      <c r="I527" s="1" t="s">
        <v>1414</v>
      </c>
      <c r="J527" s="1" t="s">
        <v>16</v>
      </c>
      <c r="K527" s="1" t="s">
        <v>16</v>
      </c>
      <c r="L527" s="1" t="s">
        <v>28</v>
      </c>
      <c r="M527">
        <f t="shared" si="56"/>
        <v>700</v>
      </c>
      <c r="N527" t="str">
        <f t="shared" si="57"/>
        <v>1968-06-01</v>
      </c>
      <c r="O527">
        <f t="shared" si="58"/>
        <v>43</v>
      </c>
      <c r="P527" t="str">
        <f t="shared" si="59"/>
        <v>mężczyzna</v>
      </c>
      <c r="Q527">
        <f t="shared" si="60"/>
        <v>132</v>
      </c>
      <c r="R527">
        <f t="shared" si="61"/>
        <v>48</v>
      </c>
      <c r="S527">
        <f t="shared" ca="1" si="62"/>
        <v>0</v>
      </c>
    </row>
    <row r="528" spans="1:19">
      <c r="A528" s="1" t="s">
        <v>19</v>
      </c>
      <c r="B528" s="2">
        <v>300</v>
      </c>
      <c r="C528" s="1">
        <v>300</v>
      </c>
      <c r="D528" s="1" t="s">
        <v>618</v>
      </c>
      <c r="E528" s="1">
        <v>11</v>
      </c>
      <c r="F528" s="3">
        <v>992.84</v>
      </c>
      <c r="G528" s="1">
        <v>6</v>
      </c>
      <c r="H528" s="1" t="s">
        <v>1415</v>
      </c>
      <c r="I528" s="1" t="s">
        <v>620</v>
      </c>
      <c r="J528" s="1" t="s">
        <v>16</v>
      </c>
      <c r="K528" s="1" t="s">
        <v>1370</v>
      </c>
      <c r="L528" s="1" t="s">
        <v>1127</v>
      </c>
      <c r="M528">
        <f t="shared" si="56"/>
        <v>300</v>
      </c>
      <c r="N528" t="str">
        <f t="shared" si="57"/>
        <v>1962-06-21</v>
      </c>
      <c r="O528">
        <f t="shared" si="58"/>
        <v>49</v>
      </c>
      <c r="P528" t="str">
        <f t="shared" si="59"/>
        <v>kobieta</v>
      </c>
      <c r="Q528">
        <f t="shared" si="60"/>
        <v>122</v>
      </c>
      <c r="R528">
        <f t="shared" si="61"/>
        <v>48</v>
      </c>
      <c r="S528">
        <f t="shared" ca="1" si="62"/>
        <v>2</v>
      </c>
    </row>
    <row r="529" spans="1:19">
      <c r="A529" s="1" t="s">
        <v>19</v>
      </c>
      <c r="B529" s="2">
        <v>400</v>
      </c>
      <c r="C529" s="1">
        <v>400</v>
      </c>
      <c r="D529" s="1" t="s">
        <v>652</v>
      </c>
      <c r="E529" s="1">
        <v>11</v>
      </c>
      <c r="F529" s="3">
        <v>1058</v>
      </c>
      <c r="G529" s="1">
        <v>1</v>
      </c>
      <c r="H529" s="1" t="s">
        <v>1416</v>
      </c>
      <c r="I529" s="1" t="s">
        <v>151</v>
      </c>
      <c r="J529" s="1" t="s">
        <v>16</v>
      </c>
      <c r="K529" s="1" t="s">
        <v>1370</v>
      </c>
      <c r="L529" s="1" t="s">
        <v>1103</v>
      </c>
      <c r="M529">
        <f t="shared" si="56"/>
        <v>400</v>
      </c>
      <c r="N529" t="str">
        <f t="shared" si="57"/>
        <v>1976-10-05</v>
      </c>
      <c r="O529">
        <f t="shared" si="58"/>
        <v>35</v>
      </c>
      <c r="P529" t="str">
        <f t="shared" si="59"/>
        <v>mężczyzna</v>
      </c>
      <c r="Q529">
        <f t="shared" si="60"/>
        <v>15</v>
      </c>
      <c r="R529">
        <f t="shared" si="61"/>
        <v>48</v>
      </c>
      <c r="S529">
        <f t="shared" ca="1" si="62"/>
        <v>0</v>
      </c>
    </row>
    <row r="530" spans="1:19">
      <c r="A530" s="1" t="s">
        <v>19</v>
      </c>
      <c r="B530" s="2">
        <v>393.48</v>
      </c>
      <c r="C530" s="1">
        <v>393.48</v>
      </c>
      <c r="D530" s="1" t="s">
        <v>601</v>
      </c>
      <c r="E530" s="1">
        <v>13</v>
      </c>
      <c r="F530" s="3">
        <v>1668</v>
      </c>
      <c r="G530" s="1">
        <v>6</v>
      </c>
      <c r="H530" s="1" t="s">
        <v>1417</v>
      </c>
      <c r="I530" s="1" t="s">
        <v>242</v>
      </c>
      <c r="J530" s="1" t="s">
        <v>16</v>
      </c>
      <c r="K530" s="1" t="s">
        <v>1370</v>
      </c>
      <c r="L530" s="1" t="s">
        <v>1103</v>
      </c>
      <c r="M530">
        <f t="shared" si="56"/>
        <v>393.48</v>
      </c>
      <c r="N530" t="str">
        <f t="shared" si="57"/>
        <v>1948-07-31</v>
      </c>
      <c r="O530">
        <f t="shared" si="58"/>
        <v>63</v>
      </c>
      <c r="P530" t="str">
        <f t="shared" si="59"/>
        <v>kobieta</v>
      </c>
      <c r="Q530">
        <f t="shared" si="60"/>
        <v>92</v>
      </c>
      <c r="R530">
        <f t="shared" si="61"/>
        <v>48</v>
      </c>
      <c r="S530">
        <f t="shared" ca="1" si="62"/>
        <v>0</v>
      </c>
    </row>
    <row r="531" spans="1:19">
      <c r="A531" s="1" t="s">
        <v>12</v>
      </c>
      <c r="B531" s="2">
        <v>300</v>
      </c>
      <c r="C531" s="1">
        <v>300</v>
      </c>
      <c r="D531" s="1" t="s">
        <v>624</v>
      </c>
      <c r="E531" s="1">
        <v>11</v>
      </c>
      <c r="F531" s="3">
        <v>1000</v>
      </c>
      <c r="G531" s="1">
        <v>6</v>
      </c>
      <c r="H531" s="1" t="s">
        <v>1418</v>
      </c>
      <c r="I531" s="1" t="s">
        <v>626</v>
      </c>
      <c r="J531" s="1" t="s">
        <v>16</v>
      </c>
      <c r="K531" s="1" t="s">
        <v>1370</v>
      </c>
      <c r="L531" s="1" t="s">
        <v>1323</v>
      </c>
      <c r="M531">
        <f t="shared" si="56"/>
        <v>300</v>
      </c>
      <c r="N531" t="str">
        <f t="shared" si="57"/>
        <v>1981-10-06</v>
      </c>
      <c r="O531">
        <f t="shared" si="58"/>
        <v>30</v>
      </c>
      <c r="P531" t="str">
        <f t="shared" si="59"/>
        <v>mężczyzna</v>
      </c>
      <c r="Q531">
        <f t="shared" si="60"/>
        <v>58</v>
      </c>
      <c r="R531">
        <f t="shared" si="61"/>
        <v>48</v>
      </c>
      <c r="S531">
        <f t="shared" ca="1" si="62"/>
        <v>9</v>
      </c>
    </row>
    <row r="532" spans="1:19">
      <c r="A532" s="1" t="s">
        <v>19</v>
      </c>
      <c r="B532" s="2">
        <v>500</v>
      </c>
      <c r="C532" s="1">
        <v>500</v>
      </c>
      <c r="D532" s="1" t="s">
        <v>639</v>
      </c>
      <c r="E532" s="1">
        <v>11</v>
      </c>
      <c r="F532" s="3">
        <v>2100</v>
      </c>
      <c r="G532" s="1">
        <v>5</v>
      </c>
      <c r="H532" s="1" t="s">
        <v>1419</v>
      </c>
      <c r="I532" s="1" t="s">
        <v>641</v>
      </c>
      <c r="J532" s="1" t="s">
        <v>16</v>
      </c>
      <c r="K532" s="1" t="s">
        <v>1370</v>
      </c>
      <c r="L532" s="1" t="s">
        <v>1103</v>
      </c>
      <c r="M532">
        <f t="shared" si="56"/>
        <v>500</v>
      </c>
      <c r="N532" t="str">
        <f t="shared" si="57"/>
        <v>1951-08-31</v>
      </c>
      <c r="O532">
        <f t="shared" si="58"/>
        <v>60</v>
      </c>
      <c r="P532" t="str">
        <f t="shared" si="59"/>
        <v>mężczyzna</v>
      </c>
      <c r="Q532">
        <f t="shared" si="60"/>
        <v>188</v>
      </c>
      <c r="R532">
        <f t="shared" si="61"/>
        <v>48</v>
      </c>
      <c r="S532">
        <f t="shared" ca="1" si="62"/>
        <v>0</v>
      </c>
    </row>
    <row r="533" spans="1:19">
      <c r="A533" s="1" t="s">
        <v>19</v>
      </c>
      <c r="B533" s="2">
        <v>300</v>
      </c>
      <c r="C533" s="1">
        <v>300</v>
      </c>
      <c r="D533" s="1" t="s">
        <v>387</v>
      </c>
      <c r="E533" s="1">
        <v>11</v>
      </c>
      <c r="F533" s="3">
        <v>1459</v>
      </c>
      <c r="G533" s="1">
        <v>3</v>
      </c>
      <c r="H533" s="1" t="s">
        <v>1420</v>
      </c>
      <c r="I533" s="1" t="s">
        <v>389</v>
      </c>
      <c r="J533" s="1" t="s">
        <v>16</v>
      </c>
      <c r="K533" s="1" t="s">
        <v>1370</v>
      </c>
      <c r="L533" s="1" t="s">
        <v>1267</v>
      </c>
      <c r="M533">
        <f t="shared" si="56"/>
        <v>300</v>
      </c>
      <c r="N533" t="str">
        <f t="shared" si="57"/>
        <v>1985-04-24</v>
      </c>
      <c r="O533">
        <f t="shared" si="58"/>
        <v>26</v>
      </c>
      <c r="P533" t="str">
        <f t="shared" si="59"/>
        <v>mężczyzna</v>
      </c>
      <c r="Q533">
        <f t="shared" si="60"/>
        <v>10</v>
      </c>
      <c r="R533">
        <f t="shared" si="61"/>
        <v>48</v>
      </c>
      <c r="S533">
        <f t="shared" ca="1" si="62"/>
        <v>13</v>
      </c>
    </row>
    <row r="534" spans="1:19">
      <c r="A534" s="1" t="s">
        <v>19</v>
      </c>
      <c r="B534" s="2">
        <v>200</v>
      </c>
      <c r="C534" s="1">
        <v>200</v>
      </c>
      <c r="D534" s="1" t="s">
        <v>612</v>
      </c>
      <c r="E534" s="1">
        <v>13</v>
      </c>
      <c r="F534" s="3">
        <v>865</v>
      </c>
      <c r="G534" s="1">
        <v>6</v>
      </c>
      <c r="H534" s="1" t="s">
        <v>1421</v>
      </c>
      <c r="I534" s="1" t="s">
        <v>614</v>
      </c>
      <c r="J534" s="1" t="s">
        <v>16</v>
      </c>
      <c r="K534" s="1" t="s">
        <v>1370</v>
      </c>
      <c r="L534" s="1" t="s">
        <v>1103</v>
      </c>
      <c r="M534">
        <f t="shared" si="56"/>
        <v>200</v>
      </c>
      <c r="N534" t="str">
        <f t="shared" si="57"/>
        <v>1941-03-18</v>
      </c>
      <c r="O534">
        <f t="shared" si="58"/>
        <v>70</v>
      </c>
      <c r="P534" t="str">
        <f t="shared" si="59"/>
        <v>kobieta</v>
      </c>
      <c r="Q534">
        <f t="shared" si="60"/>
        <v>129</v>
      </c>
      <c r="R534">
        <f t="shared" si="61"/>
        <v>48</v>
      </c>
      <c r="S534">
        <f t="shared" ca="1" si="62"/>
        <v>0</v>
      </c>
    </row>
    <row r="535" spans="1:19">
      <c r="A535" s="1" t="s">
        <v>12</v>
      </c>
      <c r="B535" s="2">
        <v>200</v>
      </c>
      <c r="C535" s="1">
        <v>200</v>
      </c>
      <c r="D535" s="1" t="s">
        <v>628</v>
      </c>
      <c r="E535" s="1">
        <v>12</v>
      </c>
      <c r="F535" s="3">
        <v>1000</v>
      </c>
      <c r="G535" s="1">
        <v>1</v>
      </c>
      <c r="H535" s="1" t="s">
        <v>1422</v>
      </c>
      <c r="I535" s="1" t="s">
        <v>630</v>
      </c>
      <c r="J535" s="1" t="s">
        <v>631</v>
      </c>
      <c r="K535" s="1" t="s">
        <v>1370</v>
      </c>
      <c r="L535" s="1" t="s">
        <v>657</v>
      </c>
      <c r="M535">
        <f t="shared" si="56"/>
        <v>200</v>
      </c>
      <c r="N535" t="str">
        <f t="shared" si="57"/>
        <v>1957-02-18</v>
      </c>
      <c r="O535">
        <f t="shared" si="58"/>
        <v>54</v>
      </c>
      <c r="P535" t="str">
        <f t="shared" si="59"/>
        <v>kobieta</v>
      </c>
      <c r="Q535">
        <f t="shared" si="60"/>
        <v>46</v>
      </c>
      <c r="R535">
        <f t="shared" si="61"/>
        <v>23</v>
      </c>
      <c r="S535">
        <f t="shared" ca="1" si="62"/>
        <v>0</v>
      </c>
    </row>
    <row r="536" spans="1:19">
      <c r="A536" s="1" t="s">
        <v>12</v>
      </c>
      <c r="B536" s="2">
        <v>300</v>
      </c>
      <c r="C536" s="1">
        <v>300</v>
      </c>
      <c r="D536" s="1" t="s">
        <v>282</v>
      </c>
      <c r="E536" s="1">
        <v>11</v>
      </c>
      <c r="F536" s="3">
        <v>1400</v>
      </c>
      <c r="G536" s="1">
        <v>0</v>
      </c>
      <c r="H536" s="1" t="s">
        <v>1423</v>
      </c>
      <c r="I536" s="1" t="s">
        <v>284</v>
      </c>
      <c r="J536" s="1" t="s">
        <v>16</v>
      </c>
      <c r="K536" s="1" t="s">
        <v>1370</v>
      </c>
      <c r="L536" s="1" t="s">
        <v>1347</v>
      </c>
      <c r="M536">
        <f t="shared" si="56"/>
        <v>300</v>
      </c>
      <c r="N536" t="str">
        <f t="shared" si="57"/>
        <v>1962-02-25</v>
      </c>
      <c r="O536">
        <f t="shared" si="58"/>
        <v>49</v>
      </c>
      <c r="P536" t="str">
        <f t="shared" si="59"/>
        <v>mężczyzna</v>
      </c>
      <c r="Q536">
        <f t="shared" si="60"/>
        <v>15</v>
      </c>
      <c r="R536">
        <f t="shared" si="61"/>
        <v>48</v>
      </c>
      <c r="S536">
        <f t="shared" ca="1" si="62"/>
        <v>14</v>
      </c>
    </row>
    <row r="537" spans="1:19">
      <c r="A537" s="1" t="s">
        <v>12</v>
      </c>
      <c r="B537" s="2">
        <v>200</v>
      </c>
      <c r="C537" s="1">
        <v>200</v>
      </c>
      <c r="D537" s="1" t="s">
        <v>593</v>
      </c>
      <c r="E537" s="1">
        <v>13</v>
      </c>
      <c r="F537" s="3">
        <v>1026</v>
      </c>
      <c r="G537" s="1">
        <v>5</v>
      </c>
      <c r="H537" s="1" t="s">
        <v>1424</v>
      </c>
      <c r="I537" s="1" t="s">
        <v>595</v>
      </c>
      <c r="J537" s="1" t="s">
        <v>16</v>
      </c>
      <c r="K537" s="1" t="s">
        <v>457</v>
      </c>
      <c r="L537" s="1" t="s">
        <v>1425</v>
      </c>
      <c r="M537">
        <f t="shared" si="56"/>
        <v>200</v>
      </c>
      <c r="N537" t="str">
        <f t="shared" si="57"/>
        <v>1951-12-02</v>
      </c>
      <c r="O537">
        <f t="shared" si="58"/>
        <v>60</v>
      </c>
      <c r="P537" t="str">
        <f t="shared" si="59"/>
        <v>kobieta</v>
      </c>
      <c r="Q537">
        <f t="shared" si="60"/>
        <v>56</v>
      </c>
      <c r="R537">
        <f t="shared" si="61"/>
        <v>48</v>
      </c>
      <c r="S537">
        <f t="shared" ca="1" si="62"/>
        <v>41</v>
      </c>
    </row>
    <row r="538" spans="1:19">
      <c r="A538" s="1" t="s">
        <v>19</v>
      </c>
      <c r="B538" s="2">
        <v>700</v>
      </c>
      <c r="C538" s="1">
        <v>700</v>
      </c>
      <c r="D538" s="1" t="s">
        <v>606</v>
      </c>
      <c r="E538" s="1">
        <v>13</v>
      </c>
      <c r="F538" s="3">
        <v>1872</v>
      </c>
      <c r="G538" s="1">
        <v>6</v>
      </c>
      <c r="H538" s="1" t="s">
        <v>1426</v>
      </c>
      <c r="I538" s="1" t="s">
        <v>608</v>
      </c>
      <c r="J538" s="1" t="s">
        <v>16</v>
      </c>
      <c r="K538" s="1" t="s">
        <v>457</v>
      </c>
      <c r="L538" s="1" t="s">
        <v>1127</v>
      </c>
      <c r="M538">
        <f t="shared" si="56"/>
        <v>700</v>
      </c>
      <c r="N538" t="str">
        <f t="shared" si="57"/>
        <v>1953-06-21</v>
      </c>
      <c r="O538">
        <f t="shared" si="58"/>
        <v>58</v>
      </c>
      <c r="P538" t="str">
        <f t="shared" si="59"/>
        <v>kobieta</v>
      </c>
      <c r="Q538">
        <f t="shared" si="60"/>
        <v>36</v>
      </c>
      <c r="R538">
        <f t="shared" si="61"/>
        <v>48</v>
      </c>
      <c r="S538">
        <f t="shared" ca="1" si="62"/>
        <v>1</v>
      </c>
    </row>
    <row r="539" spans="1:19">
      <c r="A539" s="1" t="s">
        <v>19</v>
      </c>
      <c r="B539" s="2">
        <v>300</v>
      </c>
      <c r="C539" s="1">
        <v>300</v>
      </c>
      <c r="D539" s="1" t="s">
        <v>632</v>
      </c>
      <c r="E539" s="1">
        <v>98</v>
      </c>
      <c r="F539" s="3">
        <v>911</v>
      </c>
      <c r="G539" s="1">
        <v>6</v>
      </c>
      <c r="H539" s="1" t="s">
        <v>1427</v>
      </c>
      <c r="I539" s="1" t="s">
        <v>634</v>
      </c>
      <c r="J539" s="1" t="s">
        <v>16</v>
      </c>
      <c r="K539" s="1" t="s">
        <v>457</v>
      </c>
      <c r="L539" s="1" t="s">
        <v>18</v>
      </c>
      <c r="M539">
        <f t="shared" si="56"/>
        <v>300</v>
      </c>
      <c r="N539" t="str">
        <f t="shared" si="57"/>
        <v>1965-04-24</v>
      </c>
      <c r="O539">
        <f t="shared" si="58"/>
        <v>46</v>
      </c>
      <c r="P539" t="str">
        <f t="shared" si="59"/>
        <v>kobieta</v>
      </c>
      <c r="Q539">
        <f t="shared" si="60"/>
        <v>99</v>
      </c>
      <c r="R539">
        <f t="shared" si="61"/>
        <v>48</v>
      </c>
      <c r="S539">
        <f t="shared" ca="1" si="62"/>
        <v>2</v>
      </c>
    </row>
    <row r="540" spans="1:19">
      <c r="A540" s="1" t="s">
        <v>12</v>
      </c>
      <c r="B540" s="2">
        <v>300</v>
      </c>
      <c r="C540" s="1">
        <v>300</v>
      </c>
      <c r="D540" s="1" t="s">
        <v>420</v>
      </c>
      <c r="E540" s="1">
        <v>13</v>
      </c>
      <c r="F540" s="3">
        <v>714</v>
      </c>
      <c r="G540" s="1">
        <v>0</v>
      </c>
      <c r="H540" s="1" t="s">
        <v>1428</v>
      </c>
      <c r="I540" s="1" t="s">
        <v>422</v>
      </c>
      <c r="J540" s="1" t="s">
        <v>16</v>
      </c>
      <c r="K540" s="1" t="s">
        <v>457</v>
      </c>
      <c r="L540" s="1" t="s">
        <v>1217</v>
      </c>
      <c r="M540">
        <f t="shared" si="56"/>
        <v>300</v>
      </c>
      <c r="N540" t="str">
        <f t="shared" si="57"/>
        <v>1949-07-16</v>
      </c>
      <c r="O540">
        <f t="shared" si="58"/>
        <v>62</v>
      </c>
      <c r="P540" t="str">
        <f t="shared" si="59"/>
        <v>kobieta</v>
      </c>
      <c r="Q540">
        <f t="shared" si="60"/>
        <v>223</v>
      </c>
      <c r="R540">
        <f t="shared" si="61"/>
        <v>48</v>
      </c>
      <c r="S540">
        <f t="shared" ca="1" si="62"/>
        <v>0</v>
      </c>
    </row>
    <row r="541" spans="1:19">
      <c r="A541" s="1" t="s">
        <v>19</v>
      </c>
      <c r="B541" s="2">
        <v>240</v>
      </c>
      <c r="C541" s="1">
        <v>240</v>
      </c>
      <c r="D541" s="1" t="s">
        <v>562</v>
      </c>
      <c r="E541" s="1">
        <v>16</v>
      </c>
      <c r="F541" s="3">
        <v>634.64</v>
      </c>
      <c r="G541" s="1">
        <v>5</v>
      </c>
      <c r="H541" s="1" t="s">
        <v>1429</v>
      </c>
      <c r="I541" s="1" t="s">
        <v>564</v>
      </c>
      <c r="J541" s="1" t="s">
        <v>16</v>
      </c>
      <c r="K541" s="1" t="s">
        <v>457</v>
      </c>
      <c r="L541" s="1" t="s">
        <v>1430</v>
      </c>
      <c r="M541">
        <f t="shared" si="56"/>
        <v>240</v>
      </c>
      <c r="N541" t="str">
        <f t="shared" si="57"/>
        <v>1954-06-09</v>
      </c>
      <c r="O541">
        <f t="shared" si="58"/>
        <v>57</v>
      </c>
      <c r="P541" t="str">
        <f t="shared" si="59"/>
        <v>kobieta</v>
      </c>
      <c r="Q541">
        <f t="shared" si="60"/>
        <v>137</v>
      </c>
      <c r="R541">
        <f t="shared" si="61"/>
        <v>48</v>
      </c>
      <c r="S541">
        <f t="shared" ca="1" si="62"/>
        <v>6</v>
      </c>
    </row>
    <row r="542" spans="1:19">
      <c r="A542" s="1" t="s">
        <v>19</v>
      </c>
      <c r="B542" s="2">
        <v>300</v>
      </c>
      <c r="C542" s="1">
        <v>300</v>
      </c>
      <c r="D542" s="1" t="s">
        <v>661</v>
      </c>
      <c r="E542" s="1">
        <v>12</v>
      </c>
      <c r="F542" s="3">
        <v>1038.68</v>
      </c>
      <c r="G542" s="1">
        <v>2</v>
      </c>
      <c r="H542" s="1" t="s">
        <v>1431</v>
      </c>
      <c r="I542" s="1" t="s">
        <v>663</v>
      </c>
      <c r="J542" s="1" t="s">
        <v>246</v>
      </c>
      <c r="K542" s="1" t="s">
        <v>457</v>
      </c>
      <c r="L542" s="1" t="s">
        <v>18</v>
      </c>
      <c r="M542">
        <f t="shared" si="56"/>
        <v>300</v>
      </c>
      <c r="N542" t="str">
        <f t="shared" si="57"/>
        <v>1965-11-28</v>
      </c>
      <c r="O542">
        <f t="shared" si="58"/>
        <v>46</v>
      </c>
      <c r="P542" t="str">
        <f t="shared" si="59"/>
        <v>kobieta</v>
      </c>
      <c r="Q542">
        <f t="shared" si="60"/>
        <v>22</v>
      </c>
      <c r="R542">
        <f t="shared" si="61"/>
        <v>4</v>
      </c>
      <c r="S542">
        <f t="shared" ca="1" si="62"/>
        <v>2</v>
      </c>
    </row>
    <row r="543" spans="1:19">
      <c r="A543" s="1" t="s">
        <v>24</v>
      </c>
      <c r="B543" s="2">
        <v>500</v>
      </c>
      <c r="C543" s="1">
        <v>0</v>
      </c>
      <c r="D543" s="1" t="s">
        <v>1432</v>
      </c>
      <c r="E543" s="1">
        <v>11</v>
      </c>
      <c r="F543" s="3">
        <v>1920.35</v>
      </c>
      <c r="G543" s="1">
        <v>0</v>
      </c>
      <c r="H543" s="1" t="s">
        <v>1433</v>
      </c>
      <c r="I543" s="1" t="s">
        <v>1434</v>
      </c>
      <c r="J543" s="1" t="s">
        <v>16</v>
      </c>
      <c r="K543" s="1" t="s">
        <v>16</v>
      </c>
      <c r="L543" s="1" t="s">
        <v>28</v>
      </c>
      <c r="M543">
        <f t="shared" si="56"/>
        <v>500</v>
      </c>
      <c r="N543" t="str">
        <f t="shared" si="57"/>
        <v>1972-03-03</v>
      </c>
      <c r="O543">
        <f t="shared" si="58"/>
        <v>39</v>
      </c>
      <c r="P543" t="str">
        <f t="shared" si="59"/>
        <v>kobieta</v>
      </c>
      <c r="Q543">
        <f t="shared" si="60"/>
        <v>98</v>
      </c>
      <c r="R543">
        <f t="shared" si="61"/>
        <v>48</v>
      </c>
      <c r="S543">
        <f t="shared" ca="1" si="62"/>
        <v>0</v>
      </c>
    </row>
    <row r="544" spans="1:19">
      <c r="A544" s="1" t="s">
        <v>24</v>
      </c>
      <c r="B544" s="2">
        <v>500</v>
      </c>
      <c r="C544" s="1">
        <v>0</v>
      </c>
      <c r="D544" s="1" t="s">
        <v>1435</v>
      </c>
      <c r="E544" s="1">
        <v>13</v>
      </c>
      <c r="F544" s="3">
        <v>1032</v>
      </c>
      <c r="G544" s="1">
        <v>0</v>
      </c>
      <c r="H544" s="1" t="s">
        <v>1436</v>
      </c>
      <c r="I544" s="1" t="s">
        <v>1437</v>
      </c>
      <c r="J544" s="1" t="s">
        <v>16</v>
      </c>
      <c r="K544" s="1" t="s">
        <v>16</v>
      </c>
      <c r="L544" s="1" t="s">
        <v>28</v>
      </c>
      <c r="M544">
        <f t="shared" si="56"/>
        <v>500</v>
      </c>
      <c r="N544" t="str">
        <f t="shared" si="57"/>
        <v>1938-05-29</v>
      </c>
      <c r="O544">
        <f t="shared" si="58"/>
        <v>73</v>
      </c>
      <c r="P544" t="str">
        <f t="shared" si="59"/>
        <v>mężczyzna</v>
      </c>
      <c r="Q544">
        <f t="shared" si="60"/>
        <v>120</v>
      </c>
      <c r="R544">
        <f t="shared" si="61"/>
        <v>48</v>
      </c>
      <c r="S544">
        <f t="shared" ca="1" si="62"/>
        <v>0</v>
      </c>
    </row>
    <row r="545" spans="1:19">
      <c r="A545" s="1" t="s">
        <v>12</v>
      </c>
      <c r="B545" s="2">
        <v>500</v>
      </c>
      <c r="C545" s="1">
        <v>500</v>
      </c>
      <c r="D545" s="1" t="s">
        <v>1438</v>
      </c>
      <c r="E545" s="1">
        <v>13</v>
      </c>
      <c r="F545" s="3">
        <v>1530</v>
      </c>
      <c r="G545" s="1">
        <v>0</v>
      </c>
      <c r="H545" s="1" t="s">
        <v>1439</v>
      </c>
      <c r="I545" s="1" t="s">
        <v>1440</v>
      </c>
      <c r="J545" s="1" t="s">
        <v>16</v>
      </c>
      <c r="K545" s="1" t="s">
        <v>457</v>
      </c>
      <c r="L545" s="1" t="s">
        <v>1217</v>
      </c>
      <c r="M545">
        <f t="shared" si="56"/>
        <v>500</v>
      </c>
      <c r="N545" t="str">
        <f t="shared" si="57"/>
        <v>1947-04-09</v>
      </c>
      <c r="O545">
        <f t="shared" si="58"/>
        <v>64</v>
      </c>
      <c r="P545" t="str">
        <f t="shared" si="59"/>
        <v>mężczyzna</v>
      </c>
      <c r="Q545">
        <f t="shared" si="60"/>
        <v>36</v>
      </c>
      <c r="R545">
        <f t="shared" si="61"/>
        <v>48</v>
      </c>
      <c r="S545">
        <f t="shared" ca="1" si="62"/>
        <v>0</v>
      </c>
    </row>
    <row r="546" spans="1:19">
      <c r="A546" s="1" t="s">
        <v>24</v>
      </c>
      <c r="B546" s="2">
        <v>300</v>
      </c>
      <c r="C546" s="1">
        <v>0</v>
      </c>
      <c r="D546" s="1" t="s">
        <v>1441</v>
      </c>
      <c r="E546" s="1">
        <v>16</v>
      </c>
      <c r="F546" s="3">
        <v>1103.04</v>
      </c>
      <c r="G546" s="1">
        <v>0</v>
      </c>
      <c r="H546" s="1" t="s">
        <v>1442</v>
      </c>
      <c r="I546" s="1" t="s">
        <v>1443</v>
      </c>
      <c r="J546" s="1" t="s">
        <v>16</v>
      </c>
      <c r="K546" s="1" t="s">
        <v>16</v>
      </c>
      <c r="L546" s="1" t="s">
        <v>28</v>
      </c>
      <c r="M546">
        <f t="shared" si="56"/>
        <v>300</v>
      </c>
      <c r="N546" t="str">
        <f t="shared" si="57"/>
        <v>1959-01-14</v>
      </c>
      <c r="O546">
        <f t="shared" si="58"/>
        <v>52</v>
      </c>
      <c r="P546" t="str">
        <f t="shared" si="59"/>
        <v>kobieta</v>
      </c>
      <c r="Q546">
        <f t="shared" si="60"/>
        <v>175</v>
      </c>
      <c r="R546">
        <f t="shared" si="61"/>
        <v>48</v>
      </c>
      <c r="S546">
        <f t="shared" ca="1" si="62"/>
        <v>0</v>
      </c>
    </row>
    <row r="547" spans="1:19">
      <c r="A547" s="1" t="s">
        <v>19</v>
      </c>
      <c r="B547" s="2">
        <v>700</v>
      </c>
      <c r="C547" s="1">
        <v>600</v>
      </c>
      <c r="D547" s="1" t="s">
        <v>1444</v>
      </c>
      <c r="E547" s="1">
        <v>13</v>
      </c>
      <c r="F547" s="3">
        <v>2547</v>
      </c>
      <c r="G547" s="1">
        <v>0</v>
      </c>
      <c r="H547" s="1" t="s">
        <v>1445</v>
      </c>
      <c r="I547" s="1" t="s">
        <v>1446</v>
      </c>
      <c r="J547" s="1" t="s">
        <v>16</v>
      </c>
      <c r="K547" s="1" t="s">
        <v>457</v>
      </c>
      <c r="L547" s="1" t="s">
        <v>1217</v>
      </c>
      <c r="M547">
        <f t="shared" si="56"/>
        <v>600</v>
      </c>
      <c r="N547" t="str">
        <f t="shared" si="57"/>
        <v>1931-01-25</v>
      </c>
      <c r="O547">
        <f t="shared" si="58"/>
        <v>80</v>
      </c>
      <c r="P547" t="str">
        <f t="shared" si="59"/>
        <v>mężczyzna</v>
      </c>
      <c r="Q547">
        <f t="shared" si="60"/>
        <v>196</v>
      </c>
      <c r="R547">
        <f t="shared" si="61"/>
        <v>48</v>
      </c>
      <c r="S547">
        <f t="shared" ca="1" si="62"/>
        <v>0</v>
      </c>
    </row>
    <row r="548" spans="1:19">
      <c r="A548" s="1" t="s">
        <v>19</v>
      </c>
      <c r="B548" s="2">
        <v>300</v>
      </c>
      <c r="C548" s="1">
        <v>300</v>
      </c>
      <c r="D548" s="1" t="s">
        <v>586</v>
      </c>
      <c r="E548" s="1">
        <v>12</v>
      </c>
      <c r="F548" s="3">
        <v>1500</v>
      </c>
      <c r="G548" s="1">
        <v>5</v>
      </c>
      <c r="H548" s="1" t="s">
        <v>1447</v>
      </c>
      <c r="I548" s="1" t="s">
        <v>161</v>
      </c>
      <c r="J548" s="1" t="s">
        <v>1384</v>
      </c>
      <c r="K548" s="1" t="s">
        <v>457</v>
      </c>
      <c r="L548" s="1" t="s">
        <v>1217</v>
      </c>
      <c r="M548">
        <f t="shared" si="56"/>
        <v>300</v>
      </c>
      <c r="N548" t="str">
        <f t="shared" si="57"/>
        <v>1989-06-09</v>
      </c>
      <c r="O548">
        <f t="shared" si="58"/>
        <v>22</v>
      </c>
      <c r="P548" t="str">
        <f t="shared" si="59"/>
        <v>kobieta</v>
      </c>
      <c r="Q548">
        <f t="shared" si="60"/>
        <v>5</v>
      </c>
      <c r="R548">
        <f t="shared" si="61"/>
        <v>1</v>
      </c>
      <c r="S548">
        <f t="shared" ca="1" si="62"/>
        <v>0</v>
      </c>
    </row>
    <row r="549" spans="1:19">
      <c r="A549" s="1" t="s">
        <v>19</v>
      </c>
      <c r="B549" s="2">
        <v>500</v>
      </c>
      <c r="C549" s="1">
        <v>500</v>
      </c>
      <c r="D549" s="1" t="s">
        <v>615</v>
      </c>
      <c r="E549" s="1">
        <v>11</v>
      </c>
      <c r="F549" s="3">
        <v>2400</v>
      </c>
      <c r="G549" s="1">
        <v>5</v>
      </c>
      <c r="H549" s="1" t="s">
        <v>1448</v>
      </c>
      <c r="I549" s="1" t="s">
        <v>617</v>
      </c>
      <c r="J549" s="1" t="s">
        <v>16</v>
      </c>
      <c r="K549" s="1" t="s">
        <v>457</v>
      </c>
      <c r="L549" s="1" t="s">
        <v>1212</v>
      </c>
      <c r="M549">
        <f t="shared" si="56"/>
        <v>500</v>
      </c>
      <c r="N549" t="str">
        <f t="shared" si="57"/>
        <v>1976-01-11</v>
      </c>
      <c r="O549">
        <f t="shared" si="58"/>
        <v>35</v>
      </c>
      <c r="P549" t="str">
        <f t="shared" si="59"/>
        <v>kobieta</v>
      </c>
      <c r="Q549">
        <f t="shared" si="60"/>
        <v>114</v>
      </c>
      <c r="R549">
        <f t="shared" si="61"/>
        <v>48</v>
      </c>
      <c r="S549">
        <f t="shared" ca="1" si="62"/>
        <v>5</v>
      </c>
    </row>
    <row r="550" spans="1:19">
      <c r="A550" s="1" t="s">
        <v>19</v>
      </c>
      <c r="B550" s="2">
        <v>249.3</v>
      </c>
      <c r="C550" s="1">
        <v>249.3</v>
      </c>
      <c r="D550" s="1" t="s">
        <v>578</v>
      </c>
      <c r="E550" s="1">
        <v>16</v>
      </c>
      <c r="F550" s="3">
        <v>2100</v>
      </c>
      <c r="G550" s="1">
        <v>1</v>
      </c>
      <c r="H550" s="1" t="s">
        <v>1449</v>
      </c>
      <c r="I550" s="1" t="s">
        <v>580</v>
      </c>
      <c r="J550" s="1" t="s">
        <v>16</v>
      </c>
      <c r="K550" s="1" t="s">
        <v>457</v>
      </c>
      <c r="L550" s="1" t="s">
        <v>18</v>
      </c>
      <c r="M550">
        <f t="shared" si="56"/>
        <v>249.3</v>
      </c>
      <c r="N550" t="str">
        <f t="shared" si="57"/>
        <v>1954-07-29</v>
      </c>
      <c r="O550">
        <f t="shared" si="58"/>
        <v>57</v>
      </c>
      <c r="P550" t="str">
        <f t="shared" si="59"/>
        <v>kobieta</v>
      </c>
      <c r="Q550">
        <f t="shared" si="60"/>
        <v>40</v>
      </c>
      <c r="R550">
        <f t="shared" si="61"/>
        <v>48</v>
      </c>
      <c r="S550">
        <f t="shared" ca="1" si="62"/>
        <v>2</v>
      </c>
    </row>
    <row r="551" spans="1:19">
      <c r="A551" s="1" t="s">
        <v>19</v>
      </c>
      <c r="B551" s="2">
        <v>300</v>
      </c>
      <c r="C551" s="1">
        <v>300</v>
      </c>
      <c r="D551" s="1" t="s">
        <v>598</v>
      </c>
      <c r="E551" s="1">
        <v>13</v>
      </c>
      <c r="F551" s="3">
        <v>1536</v>
      </c>
      <c r="G551" s="1">
        <v>1</v>
      </c>
      <c r="H551" s="1" t="s">
        <v>1450</v>
      </c>
      <c r="I551" s="1" t="s">
        <v>600</v>
      </c>
      <c r="J551" s="1" t="s">
        <v>16</v>
      </c>
      <c r="K551" s="1" t="s">
        <v>1451</v>
      </c>
      <c r="L551" s="1" t="s">
        <v>1127</v>
      </c>
      <c r="M551">
        <f t="shared" si="56"/>
        <v>300</v>
      </c>
      <c r="N551" t="str">
        <f t="shared" si="57"/>
        <v>1937-09-11</v>
      </c>
      <c r="O551">
        <f t="shared" si="58"/>
        <v>74</v>
      </c>
      <c r="P551" t="str">
        <f t="shared" si="59"/>
        <v>kobieta</v>
      </c>
      <c r="Q551">
        <f t="shared" si="60"/>
        <v>37</v>
      </c>
      <c r="R551">
        <f t="shared" si="61"/>
        <v>48</v>
      </c>
      <c r="S551">
        <f t="shared" ca="1" si="62"/>
        <v>0</v>
      </c>
    </row>
    <row r="552" spans="1:19">
      <c r="A552" s="1" t="s">
        <v>24</v>
      </c>
      <c r="B552" s="2">
        <v>300</v>
      </c>
      <c r="C552" s="1">
        <v>0</v>
      </c>
      <c r="D552" s="1" t="s">
        <v>1452</v>
      </c>
      <c r="E552" s="1">
        <v>13</v>
      </c>
      <c r="F552" s="3">
        <v>1046.3399999999999</v>
      </c>
      <c r="G552" s="1">
        <v>0</v>
      </c>
      <c r="H552" s="1" t="s">
        <v>1453</v>
      </c>
      <c r="I552" s="1" t="s">
        <v>1454</v>
      </c>
      <c r="J552" s="1" t="s">
        <v>16</v>
      </c>
      <c r="K552" s="1" t="s">
        <v>16</v>
      </c>
      <c r="L552" s="1" t="s">
        <v>28</v>
      </c>
      <c r="M552">
        <f t="shared" si="56"/>
        <v>300</v>
      </c>
      <c r="N552" t="str">
        <f t="shared" si="57"/>
        <v>1971-09-17</v>
      </c>
      <c r="O552">
        <f t="shared" si="58"/>
        <v>40</v>
      </c>
      <c r="P552" t="str">
        <f t="shared" si="59"/>
        <v>mężczyzna</v>
      </c>
      <c r="Q552">
        <f t="shared" si="60"/>
        <v>169</v>
      </c>
      <c r="R552">
        <f t="shared" si="61"/>
        <v>48</v>
      </c>
      <c r="S552">
        <f t="shared" ca="1" si="62"/>
        <v>0</v>
      </c>
    </row>
    <row r="553" spans="1:19">
      <c r="A553" s="1" t="s">
        <v>12</v>
      </c>
      <c r="B553" s="2">
        <v>200</v>
      </c>
      <c r="C553" s="1">
        <v>200</v>
      </c>
      <c r="D553" s="1" t="s">
        <v>791</v>
      </c>
      <c r="E553" s="1">
        <v>99</v>
      </c>
      <c r="F553" s="3">
        <v>2290.5500000000002</v>
      </c>
      <c r="G553" s="1">
        <v>3</v>
      </c>
      <c r="H553" s="1" t="s">
        <v>1455</v>
      </c>
      <c r="I553" s="1" t="s">
        <v>535</v>
      </c>
      <c r="J553" s="1" t="s">
        <v>63</v>
      </c>
      <c r="K553" s="1" t="s">
        <v>1451</v>
      </c>
      <c r="L553" s="1" t="s">
        <v>1127</v>
      </c>
      <c r="M553">
        <f t="shared" si="56"/>
        <v>200</v>
      </c>
      <c r="N553" t="str">
        <f t="shared" si="57"/>
        <v>1969-05-31</v>
      </c>
      <c r="O553">
        <f t="shared" si="58"/>
        <v>42</v>
      </c>
      <c r="P553" t="str">
        <f t="shared" si="59"/>
        <v>kobieta</v>
      </c>
      <c r="Q553">
        <f t="shared" si="60"/>
        <v>19</v>
      </c>
      <c r="R553">
        <f t="shared" si="61"/>
        <v>1</v>
      </c>
      <c r="S553">
        <f t="shared" ca="1" si="62"/>
        <v>0</v>
      </c>
    </row>
    <row r="554" spans="1:19">
      <c r="A554" s="1" t="s">
        <v>12</v>
      </c>
      <c r="B554" s="2">
        <v>1000</v>
      </c>
      <c r="C554" s="1">
        <v>500</v>
      </c>
      <c r="D554" s="1" t="s">
        <v>1269</v>
      </c>
      <c r="E554" s="1">
        <v>11</v>
      </c>
      <c r="F554" s="3">
        <v>2180.09</v>
      </c>
      <c r="G554" s="1">
        <v>0</v>
      </c>
      <c r="H554" s="1" t="s">
        <v>1456</v>
      </c>
      <c r="I554" s="1" t="s">
        <v>1271</v>
      </c>
      <c r="J554" s="1" t="s">
        <v>16</v>
      </c>
      <c r="K554" s="1" t="s">
        <v>1451</v>
      </c>
      <c r="L554" s="1" t="s">
        <v>1457</v>
      </c>
      <c r="M554">
        <f t="shared" si="56"/>
        <v>500</v>
      </c>
      <c r="N554" t="str">
        <f t="shared" si="57"/>
        <v>1980-10-10</v>
      </c>
      <c r="O554">
        <f t="shared" si="58"/>
        <v>31</v>
      </c>
      <c r="P554" t="str">
        <f t="shared" si="59"/>
        <v>mężczyzna</v>
      </c>
      <c r="Q554">
        <f t="shared" si="60"/>
        <v>51</v>
      </c>
      <c r="R554">
        <f t="shared" si="61"/>
        <v>48</v>
      </c>
      <c r="S554">
        <f t="shared" ca="1" si="62"/>
        <v>13</v>
      </c>
    </row>
    <row r="555" spans="1:19">
      <c r="A555" s="1" t="s">
        <v>12</v>
      </c>
      <c r="B555" s="2">
        <v>800</v>
      </c>
      <c r="C555" s="1">
        <v>500</v>
      </c>
      <c r="D555" s="1" t="s">
        <v>1458</v>
      </c>
      <c r="E555" s="1">
        <v>13</v>
      </c>
      <c r="F555" s="3">
        <v>1431</v>
      </c>
      <c r="G555" s="1">
        <v>0</v>
      </c>
      <c r="H555" s="1" t="s">
        <v>1459</v>
      </c>
      <c r="I555" s="1" t="s">
        <v>1460</v>
      </c>
      <c r="J555" s="1" t="s">
        <v>16</v>
      </c>
      <c r="K555" s="1" t="s">
        <v>1451</v>
      </c>
      <c r="L555" s="1" t="s">
        <v>442</v>
      </c>
      <c r="M555">
        <f t="shared" si="56"/>
        <v>500</v>
      </c>
      <c r="N555" t="str">
        <f t="shared" si="57"/>
        <v>1944-01-10</v>
      </c>
      <c r="O555">
        <f t="shared" si="58"/>
        <v>67</v>
      </c>
      <c r="P555" t="str">
        <f t="shared" si="59"/>
        <v>kobieta</v>
      </c>
      <c r="Q555">
        <f t="shared" si="60"/>
        <v>248</v>
      </c>
      <c r="R555">
        <f t="shared" si="61"/>
        <v>48</v>
      </c>
      <c r="S555">
        <f t="shared" ca="1" si="62"/>
        <v>0</v>
      </c>
    </row>
    <row r="556" spans="1:19">
      <c r="A556" s="1" t="s">
        <v>19</v>
      </c>
      <c r="B556" s="2">
        <v>300</v>
      </c>
      <c r="C556" s="1">
        <v>300</v>
      </c>
      <c r="D556" s="1" t="s">
        <v>684</v>
      </c>
      <c r="E556" s="1">
        <v>13</v>
      </c>
      <c r="F556" s="3">
        <v>1167.94</v>
      </c>
      <c r="G556" s="1">
        <v>1</v>
      </c>
      <c r="H556" s="1" t="s">
        <v>1461</v>
      </c>
      <c r="I556" s="1" t="s">
        <v>686</v>
      </c>
      <c r="J556" s="1" t="s">
        <v>16</v>
      </c>
      <c r="K556" s="1" t="s">
        <v>1451</v>
      </c>
      <c r="L556" s="1" t="s">
        <v>1127</v>
      </c>
      <c r="M556">
        <f t="shared" si="56"/>
        <v>300</v>
      </c>
      <c r="N556" t="str">
        <f t="shared" si="57"/>
        <v>1932-04-05</v>
      </c>
      <c r="O556">
        <f t="shared" si="58"/>
        <v>79</v>
      </c>
      <c r="P556" t="str">
        <f t="shared" si="59"/>
        <v>kobieta</v>
      </c>
      <c r="Q556">
        <f t="shared" si="60"/>
        <v>370</v>
      </c>
      <c r="R556">
        <f t="shared" si="61"/>
        <v>48</v>
      </c>
      <c r="S556">
        <f t="shared" ca="1" si="62"/>
        <v>0</v>
      </c>
    </row>
    <row r="557" spans="1:19">
      <c r="A557" s="1" t="s">
        <v>24</v>
      </c>
      <c r="B557" s="2">
        <v>300</v>
      </c>
      <c r="C557" s="1">
        <v>0</v>
      </c>
      <c r="D557" s="1" t="s">
        <v>1462</v>
      </c>
      <c r="E557" s="1">
        <v>13</v>
      </c>
      <c r="F557" s="3">
        <v>1534.86</v>
      </c>
      <c r="G557" s="1">
        <v>0</v>
      </c>
      <c r="H557" s="1" t="s">
        <v>1463</v>
      </c>
      <c r="I557" s="1" t="s">
        <v>916</v>
      </c>
      <c r="J557" s="1" t="s">
        <v>16</v>
      </c>
      <c r="K557" s="1" t="s">
        <v>16</v>
      </c>
      <c r="L557" s="1" t="s">
        <v>28</v>
      </c>
      <c r="M557">
        <f t="shared" si="56"/>
        <v>300</v>
      </c>
      <c r="N557" t="str">
        <f t="shared" si="57"/>
        <v>1944-11-30</v>
      </c>
      <c r="O557">
        <f t="shared" si="58"/>
        <v>67</v>
      </c>
      <c r="P557" t="str">
        <f t="shared" si="59"/>
        <v>mężczyzna</v>
      </c>
      <c r="Q557">
        <f t="shared" si="60"/>
        <v>58</v>
      </c>
      <c r="R557">
        <f t="shared" si="61"/>
        <v>48</v>
      </c>
      <c r="S557">
        <f t="shared" ca="1" si="62"/>
        <v>0</v>
      </c>
    </row>
    <row r="558" spans="1:19">
      <c r="A558" s="1" t="s">
        <v>24</v>
      </c>
      <c r="B558" s="2">
        <v>300</v>
      </c>
      <c r="C558" s="1">
        <v>0</v>
      </c>
      <c r="D558" s="1" t="s">
        <v>1464</v>
      </c>
      <c r="E558" s="1">
        <v>16</v>
      </c>
      <c r="F558" s="3">
        <v>735.11</v>
      </c>
      <c r="G558" s="1">
        <v>0</v>
      </c>
      <c r="H558" s="1" t="s">
        <v>1465</v>
      </c>
      <c r="I558" s="1" t="s">
        <v>1466</v>
      </c>
      <c r="J558" s="1" t="s">
        <v>16</v>
      </c>
      <c r="K558" s="1" t="s">
        <v>16</v>
      </c>
      <c r="L558" s="1" t="s">
        <v>28</v>
      </c>
      <c r="M558">
        <f t="shared" si="56"/>
        <v>300</v>
      </c>
      <c r="N558" t="str">
        <f t="shared" si="57"/>
        <v>1954-09-29</v>
      </c>
      <c r="O558">
        <f t="shared" si="58"/>
        <v>57</v>
      </c>
      <c r="P558" t="str">
        <f t="shared" si="59"/>
        <v>kobieta</v>
      </c>
      <c r="Q558">
        <f t="shared" si="60"/>
        <v>72</v>
      </c>
      <c r="R558">
        <f t="shared" si="61"/>
        <v>48</v>
      </c>
      <c r="S558">
        <f t="shared" ca="1" si="62"/>
        <v>0</v>
      </c>
    </row>
    <row r="559" spans="1:19">
      <c r="A559" s="1" t="s">
        <v>12</v>
      </c>
      <c r="B559" s="2">
        <v>327</v>
      </c>
      <c r="C559" s="1">
        <v>327</v>
      </c>
      <c r="D559" s="1" t="s">
        <v>1467</v>
      </c>
      <c r="E559" s="1">
        <v>11</v>
      </c>
      <c r="F559" s="3">
        <v>2065.98</v>
      </c>
      <c r="G559" s="1">
        <v>0</v>
      </c>
      <c r="H559" s="1" t="s">
        <v>1468</v>
      </c>
      <c r="I559" s="1" t="s">
        <v>1469</v>
      </c>
      <c r="J559" s="1" t="s">
        <v>16</v>
      </c>
      <c r="K559" s="1" t="s">
        <v>1451</v>
      </c>
      <c r="L559" s="1" t="s">
        <v>1347</v>
      </c>
      <c r="M559">
        <f t="shared" si="56"/>
        <v>327</v>
      </c>
      <c r="N559" t="str">
        <f t="shared" si="57"/>
        <v>1959-10-17</v>
      </c>
      <c r="O559">
        <f t="shared" si="58"/>
        <v>52</v>
      </c>
      <c r="P559" t="str">
        <f t="shared" si="59"/>
        <v>kobieta</v>
      </c>
      <c r="Q559">
        <f t="shared" si="60"/>
        <v>180</v>
      </c>
      <c r="R559">
        <f t="shared" si="61"/>
        <v>48</v>
      </c>
      <c r="S559">
        <f t="shared" ca="1" si="62"/>
        <v>12</v>
      </c>
    </row>
    <row r="560" spans="1:19">
      <c r="A560" s="1" t="s">
        <v>24</v>
      </c>
      <c r="B560" s="2">
        <v>200</v>
      </c>
      <c r="C560" s="1">
        <v>0</v>
      </c>
      <c r="D560" s="1" t="s">
        <v>1470</v>
      </c>
      <c r="E560" s="1">
        <v>13</v>
      </c>
      <c r="F560" s="3">
        <v>929.58</v>
      </c>
      <c r="G560" s="1">
        <v>0</v>
      </c>
      <c r="H560" s="1" t="s">
        <v>1471</v>
      </c>
      <c r="I560" s="1" t="s">
        <v>1472</v>
      </c>
      <c r="J560" s="1" t="s">
        <v>16</v>
      </c>
      <c r="K560" s="1" t="s">
        <v>16</v>
      </c>
      <c r="L560" s="1" t="s">
        <v>28</v>
      </c>
      <c r="M560">
        <f t="shared" si="56"/>
        <v>200</v>
      </c>
      <c r="N560" t="str">
        <f t="shared" si="57"/>
        <v>1950-03-02</v>
      </c>
      <c r="O560">
        <f t="shared" si="58"/>
        <v>61</v>
      </c>
      <c r="P560" t="str">
        <f t="shared" si="59"/>
        <v>mężczyzna</v>
      </c>
      <c r="Q560">
        <f t="shared" si="60"/>
        <v>8</v>
      </c>
      <c r="R560">
        <f t="shared" si="61"/>
        <v>48</v>
      </c>
      <c r="S560">
        <f t="shared" ca="1" si="62"/>
        <v>0</v>
      </c>
    </row>
    <row r="561" spans="1:19">
      <c r="A561" s="1" t="s">
        <v>19</v>
      </c>
      <c r="B561" s="2">
        <v>299.23</v>
      </c>
      <c r="C561" s="1">
        <v>299.23</v>
      </c>
      <c r="D561" s="1" t="s">
        <v>713</v>
      </c>
      <c r="E561" s="1">
        <v>11</v>
      </c>
      <c r="F561" s="3">
        <v>1400</v>
      </c>
      <c r="G561" s="1">
        <v>2</v>
      </c>
      <c r="H561" s="1" t="s">
        <v>1473</v>
      </c>
      <c r="I561" s="1" t="s">
        <v>234</v>
      </c>
      <c r="J561" s="1" t="s">
        <v>16</v>
      </c>
      <c r="K561" s="1" t="s">
        <v>396</v>
      </c>
      <c r="L561" s="1" t="s">
        <v>1217</v>
      </c>
      <c r="M561">
        <f t="shared" si="56"/>
        <v>299.23</v>
      </c>
      <c r="N561" t="str">
        <f t="shared" si="57"/>
        <v>1959-07-27</v>
      </c>
      <c r="O561">
        <f t="shared" si="58"/>
        <v>52</v>
      </c>
      <c r="P561" t="str">
        <f t="shared" si="59"/>
        <v>kobieta</v>
      </c>
      <c r="Q561">
        <f t="shared" si="60"/>
        <v>162</v>
      </c>
      <c r="R561">
        <f t="shared" si="61"/>
        <v>48</v>
      </c>
      <c r="S561">
        <f t="shared" ca="1" si="62"/>
        <v>0</v>
      </c>
    </row>
    <row r="562" spans="1:19">
      <c r="A562" s="1" t="s">
        <v>19</v>
      </c>
      <c r="B562" s="2">
        <v>200</v>
      </c>
      <c r="C562" s="1">
        <v>200</v>
      </c>
      <c r="D562" s="1" t="s">
        <v>701</v>
      </c>
      <c r="E562" s="1">
        <v>16</v>
      </c>
      <c r="F562" s="3">
        <v>1045</v>
      </c>
      <c r="G562" s="1">
        <v>5</v>
      </c>
      <c r="H562" s="1" t="s">
        <v>1474</v>
      </c>
      <c r="I562" s="1" t="s">
        <v>703</v>
      </c>
      <c r="J562" s="1" t="s">
        <v>16</v>
      </c>
      <c r="K562" s="1" t="s">
        <v>396</v>
      </c>
      <c r="L562" s="1" t="s">
        <v>1212</v>
      </c>
      <c r="M562">
        <f t="shared" si="56"/>
        <v>200</v>
      </c>
      <c r="N562" t="str">
        <f t="shared" si="57"/>
        <v>1961-06-04</v>
      </c>
      <c r="O562">
        <f t="shared" si="58"/>
        <v>50</v>
      </c>
      <c r="P562" t="str">
        <f t="shared" si="59"/>
        <v>mężczyzna</v>
      </c>
      <c r="Q562">
        <f t="shared" si="60"/>
        <v>200</v>
      </c>
      <c r="R562">
        <f t="shared" si="61"/>
        <v>48</v>
      </c>
      <c r="S562">
        <f t="shared" ca="1" si="62"/>
        <v>3</v>
      </c>
    </row>
    <row r="563" spans="1:19">
      <c r="A563" s="1" t="s">
        <v>19</v>
      </c>
      <c r="B563" s="2">
        <v>600</v>
      </c>
      <c r="C563" s="1">
        <v>500</v>
      </c>
      <c r="D563" s="1" t="s">
        <v>1475</v>
      </c>
      <c r="E563" s="1">
        <v>16</v>
      </c>
      <c r="F563" s="3">
        <v>1401</v>
      </c>
      <c r="G563" s="1">
        <v>0</v>
      </c>
      <c r="H563" s="1" t="s">
        <v>1476</v>
      </c>
      <c r="I563" s="1" t="s">
        <v>224</v>
      </c>
      <c r="J563" s="1" t="s">
        <v>16</v>
      </c>
      <c r="K563" s="1" t="s">
        <v>396</v>
      </c>
      <c r="L563" s="1" t="s">
        <v>18</v>
      </c>
      <c r="M563">
        <f t="shared" si="56"/>
        <v>500</v>
      </c>
      <c r="N563" t="str">
        <f t="shared" si="57"/>
        <v>1942-02-25</v>
      </c>
      <c r="O563">
        <f t="shared" si="58"/>
        <v>69</v>
      </c>
      <c r="P563" t="str">
        <f t="shared" si="59"/>
        <v>kobieta</v>
      </c>
      <c r="Q563">
        <f t="shared" si="60"/>
        <v>76</v>
      </c>
      <c r="R563">
        <f t="shared" si="61"/>
        <v>48</v>
      </c>
      <c r="S563">
        <f t="shared" ca="1" si="62"/>
        <v>0</v>
      </c>
    </row>
    <row r="564" spans="1:19">
      <c r="A564" s="1" t="s">
        <v>12</v>
      </c>
      <c r="B564" s="2">
        <v>400</v>
      </c>
      <c r="C564" s="1">
        <v>400</v>
      </c>
      <c r="D564" s="1" t="s">
        <v>696</v>
      </c>
      <c r="E564" s="1">
        <v>11</v>
      </c>
      <c r="F564" s="3">
        <v>1300</v>
      </c>
      <c r="G564" s="1">
        <v>0</v>
      </c>
      <c r="H564" s="1" t="s">
        <v>1477</v>
      </c>
      <c r="I564" s="1" t="s">
        <v>561</v>
      </c>
      <c r="J564" s="1" t="s">
        <v>16</v>
      </c>
      <c r="K564" s="1" t="s">
        <v>396</v>
      </c>
      <c r="L564" s="1" t="s">
        <v>1103</v>
      </c>
      <c r="M564">
        <f t="shared" si="56"/>
        <v>400</v>
      </c>
      <c r="N564" t="str">
        <f t="shared" si="57"/>
        <v>1972-02-20</v>
      </c>
      <c r="O564">
        <f t="shared" si="58"/>
        <v>39</v>
      </c>
      <c r="P564" t="str">
        <f t="shared" si="59"/>
        <v>mężczyzna</v>
      </c>
      <c r="Q564">
        <f t="shared" si="60"/>
        <v>46</v>
      </c>
      <c r="R564">
        <f t="shared" si="61"/>
        <v>48</v>
      </c>
      <c r="S564">
        <f t="shared" ca="1" si="62"/>
        <v>0</v>
      </c>
    </row>
    <row r="565" spans="1:19">
      <c r="A565" s="1" t="s">
        <v>12</v>
      </c>
      <c r="B565" s="2">
        <v>200</v>
      </c>
      <c r="C565" s="1">
        <v>200</v>
      </c>
      <c r="D565" s="1" t="s">
        <v>1478</v>
      </c>
      <c r="E565" s="1">
        <v>99</v>
      </c>
      <c r="F565" s="3">
        <v>1500</v>
      </c>
      <c r="G565" s="1">
        <v>0</v>
      </c>
      <c r="H565" s="1" t="s">
        <v>1479</v>
      </c>
      <c r="I565" s="1" t="s">
        <v>27</v>
      </c>
      <c r="J565" s="1" t="s">
        <v>1180</v>
      </c>
      <c r="K565" s="1" t="s">
        <v>396</v>
      </c>
      <c r="L565" s="1" t="s">
        <v>1055</v>
      </c>
      <c r="M565">
        <f t="shared" si="56"/>
        <v>200</v>
      </c>
      <c r="N565" t="str">
        <f t="shared" si="57"/>
        <v>1990-01-08</v>
      </c>
      <c r="O565">
        <f t="shared" si="58"/>
        <v>21</v>
      </c>
      <c r="P565" t="str">
        <f t="shared" si="59"/>
        <v>mężczyzna</v>
      </c>
      <c r="Q565">
        <f t="shared" si="60"/>
        <v>4</v>
      </c>
      <c r="R565">
        <f t="shared" si="61"/>
        <v>2</v>
      </c>
      <c r="S565">
        <f t="shared" ca="1" si="62"/>
        <v>0</v>
      </c>
    </row>
    <row r="566" spans="1:19">
      <c r="A566" s="1" t="s">
        <v>19</v>
      </c>
      <c r="B566" s="2">
        <v>300</v>
      </c>
      <c r="C566" s="1">
        <v>300</v>
      </c>
      <c r="D566" s="1" t="s">
        <v>731</v>
      </c>
      <c r="E566" s="1">
        <v>13</v>
      </c>
      <c r="F566" s="3">
        <v>1100</v>
      </c>
      <c r="G566" s="1">
        <v>3</v>
      </c>
      <c r="H566" s="1" t="s">
        <v>1480</v>
      </c>
      <c r="I566" s="1" t="s">
        <v>383</v>
      </c>
      <c r="J566" s="1" t="s">
        <v>16</v>
      </c>
      <c r="K566" s="1" t="s">
        <v>396</v>
      </c>
      <c r="L566" s="1" t="s">
        <v>18</v>
      </c>
      <c r="M566">
        <f t="shared" si="56"/>
        <v>300</v>
      </c>
      <c r="N566" t="str">
        <f t="shared" si="57"/>
        <v>1948-01-24</v>
      </c>
      <c r="O566">
        <f t="shared" si="58"/>
        <v>63</v>
      </c>
      <c r="P566" t="str">
        <f t="shared" si="59"/>
        <v>kobieta</v>
      </c>
      <c r="Q566">
        <f t="shared" si="60"/>
        <v>106</v>
      </c>
      <c r="R566">
        <f t="shared" si="61"/>
        <v>48</v>
      </c>
      <c r="S566">
        <f t="shared" ca="1" si="62"/>
        <v>0</v>
      </c>
    </row>
    <row r="567" spans="1:19">
      <c r="A567" s="1" t="s">
        <v>12</v>
      </c>
      <c r="B567" s="2">
        <v>300</v>
      </c>
      <c r="C567" s="1">
        <v>300</v>
      </c>
      <c r="D567" s="1" t="s">
        <v>883</v>
      </c>
      <c r="E567" s="1">
        <v>15</v>
      </c>
      <c r="F567" s="3">
        <v>1100.79</v>
      </c>
      <c r="G567" s="1">
        <v>1</v>
      </c>
      <c r="H567" s="1" t="s">
        <v>1481</v>
      </c>
      <c r="I567" s="1" t="s">
        <v>885</v>
      </c>
      <c r="J567" s="1" t="s">
        <v>16</v>
      </c>
      <c r="K567" s="1" t="s">
        <v>396</v>
      </c>
      <c r="L567" s="1" t="s">
        <v>1127</v>
      </c>
      <c r="M567">
        <f t="shared" si="56"/>
        <v>300</v>
      </c>
      <c r="N567" t="str">
        <f t="shared" si="57"/>
        <v>1949-01-19</v>
      </c>
      <c r="O567">
        <f t="shared" si="58"/>
        <v>62</v>
      </c>
      <c r="P567" t="str">
        <f t="shared" si="59"/>
        <v>mężczyzna</v>
      </c>
      <c r="Q567">
        <f t="shared" si="60"/>
        <v>91</v>
      </c>
      <c r="R567">
        <f t="shared" si="61"/>
        <v>48</v>
      </c>
      <c r="S567">
        <f t="shared" ca="1" si="62"/>
        <v>0</v>
      </c>
    </row>
    <row r="568" spans="1:19">
      <c r="A568" s="1" t="s">
        <v>19</v>
      </c>
      <c r="B568" s="2">
        <v>300</v>
      </c>
      <c r="C568" s="1">
        <v>300</v>
      </c>
      <c r="D568" s="1" t="s">
        <v>707</v>
      </c>
      <c r="E568" s="1">
        <v>13</v>
      </c>
      <c r="F568" s="3">
        <v>1426</v>
      </c>
      <c r="G568" s="1">
        <v>6</v>
      </c>
      <c r="H568" s="1" t="s">
        <v>1482</v>
      </c>
      <c r="I568" s="1" t="s">
        <v>709</v>
      </c>
      <c r="J568" s="1" t="s">
        <v>16</v>
      </c>
      <c r="K568" s="1" t="s">
        <v>396</v>
      </c>
      <c r="L568" s="1" t="s">
        <v>18</v>
      </c>
      <c r="M568">
        <f t="shared" si="56"/>
        <v>300</v>
      </c>
      <c r="N568" t="str">
        <f t="shared" si="57"/>
        <v>1940-08-08</v>
      </c>
      <c r="O568">
        <f t="shared" si="58"/>
        <v>71</v>
      </c>
      <c r="P568" t="str">
        <f t="shared" si="59"/>
        <v>mężczyzna</v>
      </c>
      <c r="Q568">
        <f t="shared" si="60"/>
        <v>78</v>
      </c>
      <c r="R568">
        <f t="shared" si="61"/>
        <v>48</v>
      </c>
      <c r="S568">
        <f t="shared" ca="1" si="62"/>
        <v>0</v>
      </c>
    </row>
    <row r="569" spans="1:19">
      <c r="A569" s="1" t="s">
        <v>19</v>
      </c>
      <c r="B569" s="2">
        <v>300</v>
      </c>
      <c r="C569" s="1">
        <v>300</v>
      </c>
      <c r="D569" s="1" t="s">
        <v>718</v>
      </c>
      <c r="E569" s="1">
        <v>11</v>
      </c>
      <c r="F569" s="3">
        <v>1360</v>
      </c>
      <c r="G569" s="1">
        <v>2</v>
      </c>
      <c r="H569" s="1" t="s">
        <v>1483</v>
      </c>
      <c r="I569" s="1" t="s">
        <v>720</v>
      </c>
      <c r="J569" s="1" t="s">
        <v>16</v>
      </c>
      <c r="K569" s="1" t="s">
        <v>396</v>
      </c>
      <c r="L569" s="1" t="s">
        <v>1127</v>
      </c>
      <c r="M569">
        <f t="shared" si="56"/>
        <v>300</v>
      </c>
      <c r="N569" t="str">
        <f t="shared" si="57"/>
        <v>1965-03-18</v>
      </c>
      <c r="O569">
        <f t="shared" si="58"/>
        <v>46</v>
      </c>
      <c r="P569" t="str">
        <f t="shared" si="59"/>
        <v>mężczyzna</v>
      </c>
      <c r="Q569">
        <f t="shared" si="60"/>
        <v>121</v>
      </c>
      <c r="R569">
        <f t="shared" si="61"/>
        <v>48</v>
      </c>
      <c r="S569">
        <f t="shared" ca="1" si="62"/>
        <v>0</v>
      </c>
    </row>
    <row r="570" spans="1:19">
      <c r="A570" s="1" t="s">
        <v>19</v>
      </c>
      <c r="B570" s="2">
        <v>500</v>
      </c>
      <c r="C570" s="1">
        <v>500</v>
      </c>
      <c r="D570" s="1" t="s">
        <v>692</v>
      </c>
      <c r="E570" s="1">
        <v>17</v>
      </c>
      <c r="F570" s="3">
        <v>990</v>
      </c>
      <c r="G570" s="1">
        <v>2</v>
      </c>
      <c r="H570" s="1" t="s">
        <v>1484</v>
      </c>
      <c r="I570" s="1" t="s">
        <v>694</v>
      </c>
      <c r="J570" s="1" t="s">
        <v>695</v>
      </c>
      <c r="K570" s="1" t="s">
        <v>396</v>
      </c>
      <c r="L570" s="1" t="s">
        <v>18</v>
      </c>
      <c r="M570">
        <f t="shared" si="56"/>
        <v>500</v>
      </c>
      <c r="N570" t="str">
        <f t="shared" si="57"/>
        <v>1961-01-31</v>
      </c>
      <c r="O570">
        <f t="shared" si="58"/>
        <v>50</v>
      </c>
      <c r="P570" t="str">
        <f t="shared" si="59"/>
        <v>kobieta</v>
      </c>
      <c r="Q570">
        <f t="shared" si="60"/>
        <v>73</v>
      </c>
      <c r="R570">
        <f t="shared" si="61"/>
        <v>12</v>
      </c>
      <c r="S570">
        <f t="shared" ca="1" si="62"/>
        <v>0</v>
      </c>
    </row>
    <row r="571" spans="1:19">
      <c r="A571" s="1" t="s">
        <v>19</v>
      </c>
      <c r="B571" s="2">
        <v>700</v>
      </c>
      <c r="C571" s="1">
        <v>500</v>
      </c>
      <c r="D571" s="1" t="s">
        <v>698</v>
      </c>
      <c r="E571" s="1">
        <v>11</v>
      </c>
      <c r="F571" s="3">
        <v>2080</v>
      </c>
      <c r="G571" s="1">
        <v>0</v>
      </c>
      <c r="H571" s="1" t="s">
        <v>1485</v>
      </c>
      <c r="I571" s="1" t="s">
        <v>700</v>
      </c>
      <c r="J571" s="1" t="s">
        <v>16</v>
      </c>
      <c r="K571" s="1" t="s">
        <v>396</v>
      </c>
      <c r="L571" s="1" t="s">
        <v>18</v>
      </c>
      <c r="M571">
        <f t="shared" si="56"/>
        <v>500</v>
      </c>
      <c r="N571" t="str">
        <f t="shared" si="57"/>
        <v>1958-10-06</v>
      </c>
      <c r="O571">
        <f t="shared" si="58"/>
        <v>53</v>
      </c>
      <c r="P571" t="str">
        <f t="shared" si="59"/>
        <v>mężczyzna</v>
      </c>
      <c r="Q571">
        <f t="shared" si="60"/>
        <v>319</v>
      </c>
      <c r="R571">
        <f t="shared" si="61"/>
        <v>48</v>
      </c>
      <c r="S571">
        <f t="shared" ca="1" si="62"/>
        <v>0</v>
      </c>
    </row>
    <row r="572" spans="1:19">
      <c r="A572" s="1" t="s">
        <v>24</v>
      </c>
      <c r="B572" s="2">
        <v>300</v>
      </c>
      <c r="C572" s="1">
        <v>0</v>
      </c>
      <c r="D572" s="1" t="s">
        <v>1486</v>
      </c>
      <c r="E572" s="1">
        <v>12</v>
      </c>
      <c r="F572" s="3">
        <v>1050</v>
      </c>
      <c r="G572" s="1">
        <v>0</v>
      </c>
      <c r="H572" s="1" t="s">
        <v>1487</v>
      </c>
      <c r="I572" s="1" t="s">
        <v>1488</v>
      </c>
      <c r="J572" s="1" t="s">
        <v>63</v>
      </c>
      <c r="K572" s="1" t="s">
        <v>16</v>
      </c>
      <c r="L572" s="1" t="s">
        <v>28</v>
      </c>
      <c r="M572">
        <f t="shared" si="56"/>
        <v>300</v>
      </c>
      <c r="N572" t="str">
        <f t="shared" si="57"/>
        <v>1979-03-25</v>
      </c>
      <c r="O572">
        <f t="shared" si="58"/>
        <v>32</v>
      </c>
      <c r="P572" t="str">
        <f t="shared" si="59"/>
        <v>kobieta</v>
      </c>
      <c r="Q572">
        <f t="shared" si="60"/>
        <v>6</v>
      </c>
      <c r="R572">
        <f t="shared" si="61"/>
        <v>1</v>
      </c>
      <c r="S572">
        <f t="shared" ca="1" si="62"/>
        <v>0</v>
      </c>
    </row>
    <row r="573" spans="1:19">
      <c r="A573" s="1" t="s">
        <v>12</v>
      </c>
      <c r="B573" s="2">
        <v>244.61</v>
      </c>
      <c r="C573" s="1">
        <v>244.61</v>
      </c>
      <c r="D573" s="1" t="s">
        <v>439</v>
      </c>
      <c r="E573" s="1">
        <v>13</v>
      </c>
      <c r="F573" s="3">
        <v>1525.46</v>
      </c>
      <c r="G573" s="1">
        <v>1</v>
      </c>
      <c r="H573" s="1" t="s">
        <v>1489</v>
      </c>
      <c r="I573" s="1" t="s">
        <v>441</v>
      </c>
      <c r="J573" s="1" t="s">
        <v>16</v>
      </c>
      <c r="K573" s="1" t="s">
        <v>396</v>
      </c>
      <c r="L573" s="1" t="s">
        <v>1236</v>
      </c>
      <c r="M573">
        <f t="shared" si="56"/>
        <v>244.61</v>
      </c>
      <c r="N573" t="str">
        <f t="shared" si="57"/>
        <v>1949-06-22</v>
      </c>
      <c r="O573">
        <f t="shared" si="58"/>
        <v>62</v>
      </c>
      <c r="P573" t="str">
        <f t="shared" si="59"/>
        <v>kobieta</v>
      </c>
      <c r="Q573">
        <f t="shared" si="60"/>
        <v>37</v>
      </c>
      <c r="R573">
        <f t="shared" si="61"/>
        <v>48</v>
      </c>
      <c r="S573">
        <f t="shared" ca="1" si="62"/>
        <v>5</v>
      </c>
    </row>
    <row r="574" spans="1:19">
      <c r="A574" s="1" t="s">
        <v>19</v>
      </c>
      <c r="B574" s="2">
        <v>558.03</v>
      </c>
      <c r="C574" s="1">
        <v>558.03</v>
      </c>
      <c r="D574" s="1" t="s">
        <v>747</v>
      </c>
      <c r="E574" s="1">
        <v>13</v>
      </c>
      <c r="F574" s="3">
        <v>3700</v>
      </c>
      <c r="G574" s="1">
        <v>6</v>
      </c>
      <c r="H574" s="1" t="s">
        <v>1490</v>
      </c>
      <c r="I574" s="1" t="s">
        <v>96</v>
      </c>
      <c r="J574" s="1" t="s">
        <v>16</v>
      </c>
      <c r="K574" s="1" t="s">
        <v>396</v>
      </c>
      <c r="L574" s="1" t="s">
        <v>18</v>
      </c>
      <c r="M574">
        <f t="shared" si="56"/>
        <v>558.03</v>
      </c>
      <c r="N574" t="str">
        <f t="shared" si="57"/>
        <v>1949-07-02</v>
      </c>
      <c r="O574">
        <f t="shared" si="58"/>
        <v>62</v>
      </c>
      <c r="P574" t="str">
        <f t="shared" si="59"/>
        <v>kobieta</v>
      </c>
      <c r="Q574">
        <f t="shared" si="60"/>
        <v>28</v>
      </c>
      <c r="R574">
        <f t="shared" si="61"/>
        <v>48</v>
      </c>
      <c r="S574">
        <f t="shared" ca="1" si="62"/>
        <v>0</v>
      </c>
    </row>
    <row r="575" spans="1:19">
      <c r="A575" s="1" t="s">
        <v>19</v>
      </c>
      <c r="B575" s="2">
        <v>200</v>
      </c>
      <c r="C575" s="1">
        <v>200</v>
      </c>
      <c r="D575" s="1" t="s">
        <v>710</v>
      </c>
      <c r="E575" s="1">
        <v>98</v>
      </c>
      <c r="F575" s="3">
        <v>980</v>
      </c>
      <c r="G575" s="1">
        <v>5</v>
      </c>
      <c r="H575" s="1" t="s">
        <v>1491</v>
      </c>
      <c r="I575" s="1" t="s">
        <v>712</v>
      </c>
      <c r="J575" s="1" t="s">
        <v>16</v>
      </c>
      <c r="K575" s="1" t="s">
        <v>396</v>
      </c>
      <c r="L575" s="1" t="s">
        <v>18</v>
      </c>
      <c r="M575">
        <f t="shared" si="56"/>
        <v>200</v>
      </c>
      <c r="N575" t="str">
        <f t="shared" si="57"/>
        <v>1955-08-26</v>
      </c>
      <c r="O575">
        <f t="shared" si="58"/>
        <v>56</v>
      </c>
      <c r="P575" t="str">
        <f t="shared" si="59"/>
        <v>kobieta</v>
      </c>
      <c r="Q575">
        <f t="shared" si="60"/>
        <v>11</v>
      </c>
      <c r="R575">
        <f t="shared" si="61"/>
        <v>48</v>
      </c>
      <c r="S575">
        <f t="shared" ca="1" si="62"/>
        <v>0</v>
      </c>
    </row>
    <row r="576" spans="1:19">
      <c r="A576" s="1" t="s">
        <v>12</v>
      </c>
      <c r="B576" s="2">
        <v>200</v>
      </c>
      <c r="C576" s="1">
        <v>200</v>
      </c>
      <c r="D576" s="1" t="s">
        <v>724</v>
      </c>
      <c r="E576" s="1">
        <v>12</v>
      </c>
      <c r="F576" s="3">
        <v>1100</v>
      </c>
      <c r="G576" s="1">
        <v>1</v>
      </c>
      <c r="H576" s="1" t="s">
        <v>1492</v>
      </c>
      <c r="I576" s="1" t="s">
        <v>726</v>
      </c>
      <c r="J576" s="1" t="s">
        <v>129</v>
      </c>
      <c r="K576" s="1" t="s">
        <v>396</v>
      </c>
      <c r="L576" s="1" t="s">
        <v>1323</v>
      </c>
      <c r="M576">
        <f t="shared" si="56"/>
        <v>200</v>
      </c>
      <c r="N576" t="str">
        <f t="shared" si="57"/>
        <v>1985-12-22</v>
      </c>
      <c r="O576">
        <f t="shared" si="58"/>
        <v>26</v>
      </c>
      <c r="P576" t="str">
        <f t="shared" si="59"/>
        <v>mężczyzna</v>
      </c>
      <c r="Q576">
        <f t="shared" si="60"/>
        <v>34</v>
      </c>
      <c r="R576">
        <f t="shared" si="61"/>
        <v>25</v>
      </c>
      <c r="S576">
        <f t="shared" ca="1" si="62"/>
        <v>6</v>
      </c>
    </row>
    <row r="577" spans="1:19">
      <c r="A577" s="1" t="s">
        <v>19</v>
      </c>
      <c r="B577" s="2">
        <v>200</v>
      </c>
      <c r="C577" s="1">
        <v>200</v>
      </c>
      <c r="D577" s="1" t="s">
        <v>533</v>
      </c>
      <c r="E577" s="1">
        <v>12</v>
      </c>
      <c r="F577" s="3">
        <v>984.34</v>
      </c>
      <c r="G577" s="1">
        <v>5</v>
      </c>
      <c r="H577" s="1" t="s">
        <v>1493</v>
      </c>
      <c r="I577" s="1" t="s">
        <v>535</v>
      </c>
      <c r="J577" s="1" t="s">
        <v>63</v>
      </c>
      <c r="K577" s="1" t="s">
        <v>396</v>
      </c>
      <c r="L577" s="1" t="s">
        <v>18</v>
      </c>
      <c r="M577">
        <f t="shared" si="56"/>
        <v>200</v>
      </c>
      <c r="N577" t="str">
        <f t="shared" si="57"/>
        <v>1958-03-15</v>
      </c>
      <c r="O577">
        <f t="shared" si="58"/>
        <v>53</v>
      </c>
      <c r="P577" t="str">
        <f t="shared" si="59"/>
        <v>kobieta</v>
      </c>
      <c r="Q577">
        <f t="shared" si="60"/>
        <v>19</v>
      </c>
      <c r="R577">
        <f t="shared" si="61"/>
        <v>1</v>
      </c>
      <c r="S577">
        <f t="shared" ca="1" si="62"/>
        <v>0</v>
      </c>
    </row>
    <row r="578" spans="1:19">
      <c r="A578" s="1" t="s">
        <v>12</v>
      </c>
      <c r="B578" s="2">
        <v>700</v>
      </c>
      <c r="C578" s="1">
        <v>300</v>
      </c>
      <c r="D578" s="1" t="s">
        <v>1494</v>
      </c>
      <c r="E578" s="1">
        <v>11</v>
      </c>
      <c r="F578" s="3">
        <v>1625</v>
      </c>
      <c r="G578" s="1">
        <v>0</v>
      </c>
      <c r="H578" s="1" t="s">
        <v>1495</v>
      </c>
      <c r="I578" s="1" t="s">
        <v>676</v>
      </c>
      <c r="J578" s="1" t="s">
        <v>16</v>
      </c>
      <c r="K578" s="1" t="s">
        <v>396</v>
      </c>
      <c r="L578" s="1" t="s">
        <v>1430</v>
      </c>
      <c r="M578">
        <f t="shared" si="56"/>
        <v>300</v>
      </c>
      <c r="N578" t="str">
        <f t="shared" si="57"/>
        <v>1990-09-11</v>
      </c>
      <c r="O578">
        <f t="shared" si="58"/>
        <v>21</v>
      </c>
      <c r="P578" t="str">
        <f t="shared" si="59"/>
        <v>mężczyzna</v>
      </c>
      <c r="Q578">
        <f t="shared" si="60"/>
        <v>24</v>
      </c>
      <c r="R578">
        <f t="shared" si="61"/>
        <v>48</v>
      </c>
      <c r="S578">
        <f t="shared" ca="1" si="62"/>
        <v>4</v>
      </c>
    </row>
    <row r="579" spans="1:19">
      <c r="A579" s="1" t="s">
        <v>24</v>
      </c>
      <c r="B579" s="2">
        <v>500</v>
      </c>
      <c r="C579" s="1">
        <v>0</v>
      </c>
      <c r="D579" s="1" t="s">
        <v>1496</v>
      </c>
      <c r="E579" s="1">
        <v>12</v>
      </c>
      <c r="F579" s="3">
        <v>2260</v>
      </c>
      <c r="G579" s="1">
        <v>0</v>
      </c>
      <c r="H579" s="1" t="s">
        <v>1497</v>
      </c>
      <c r="I579" s="1" t="s">
        <v>46</v>
      </c>
      <c r="J579" s="1" t="s">
        <v>63</v>
      </c>
      <c r="K579" s="1" t="s">
        <v>16</v>
      </c>
      <c r="L579" s="1" t="s">
        <v>28</v>
      </c>
      <c r="M579">
        <f t="shared" ref="M579:M642" si="63">IF(A579="odmowa", B579,C579)</f>
        <v>500</v>
      </c>
      <c r="N579" t="str">
        <f t="shared" ref="N579:N642" si="64">CONCATENATE("19", MID(D579, 1, 2), "-", MID(D579, 3, 2), "-", MID(D579, 5, 2))</f>
        <v>1975-12-22</v>
      </c>
      <c r="O579">
        <f t="shared" ref="O579:O642" si="65">YEAR(H579) - YEAR(N579)</f>
        <v>36</v>
      </c>
      <c r="P579" t="str">
        <f t="shared" ref="P579:P642" si="66">IF(MOD(MID(D579, 10, 1), 2)=0, "kobieta", "mężczyzna")</f>
        <v>mężczyzna</v>
      </c>
      <c r="Q579">
        <f t="shared" ref="Q579:Q642" si="67">(YEAR(H579) - YEAR(I579)) * 12 + MONTH(H579) - MONTH(I579)</f>
        <v>3</v>
      </c>
      <c r="R579">
        <f t="shared" ref="R579:R642" si="68">IF(LEFT(J579, 4)="0000", 48, MIN(48, (YEAR(J579) - YEAR(H579)) * 12 + MONTH(J579) - MONTH(H579)))</f>
        <v>1</v>
      </c>
      <c r="S579">
        <f t="shared" ref="S579:S642" ca="1" si="69">IF(LEFT(K579, 4)="0000", 0, IF(LEFT(L579, 4)="0000", MAX(0, TODAY() - K579), MAX(0, L579 - K579)))</f>
        <v>0</v>
      </c>
    </row>
    <row r="580" spans="1:19">
      <c r="A580" s="1" t="s">
        <v>19</v>
      </c>
      <c r="B580" s="2">
        <v>281.61</v>
      </c>
      <c r="C580" s="1">
        <v>281.61</v>
      </c>
      <c r="D580" s="1" t="s">
        <v>681</v>
      </c>
      <c r="E580" s="1">
        <v>11</v>
      </c>
      <c r="F580" s="3">
        <v>2100</v>
      </c>
      <c r="G580" s="1">
        <v>3</v>
      </c>
      <c r="H580" s="1" t="s">
        <v>1498</v>
      </c>
      <c r="I580" s="1" t="s">
        <v>683</v>
      </c>
      <c r="J580" s="1" t="s">
        <v>16</v>
      </c>
      <c r="K580" s="1" t="s">
        <v>396</v>
      </c>
      <c r="L580" s="1" t="s">
        <v>1236</v>
      </c>
      <c r="M580">
        <f t="shared" si="63"/>
        <v>281.61</v>
      </c>
      <c r="N580" t="str">
        <f t="shared" si="64"/>
        <v>1957-01-09</v>
      </c>
      <c r="O580">
        <f t="shared" si="65"/>
        <v>54</v>
      </c>
      <c r="P580" t="str">
        <f t="shared" si="66"/>
        <v>mężczyzna</v>
      </c>
      <c r="Q580">
        <f t="shared" si="67"/>
        <v>39</v>
      </c>
      <c r="R580">
        <f t="shared" si="68"/>
        <v>48</v>
      </c>
      <c r="S580">
        <f t="shared" ca="1" si="69"/>
        <v>5</v>
      </c>
    </row>
    <row r="581" spans="1:19">
      <c r="A581" s="1" t="s">
        <v>12</v>
      </c>
      <c r="B581" s="2">
        <v>500</v>
      </c>
      <c r="C581" s="1">
        <v>500</v>
      </c>
      <c r="D581" s="1" t="s">
        <v>609</v>
      </c>
      <c r="E581" s="1">
        <v>11</v>
      </c>
      <c r="F581" s="3">
        <v>2327.94</v>
      </c>
      <c r="G581" s="1">
        <v>2</v>
      </c>
      <c r="H581" s="1" t="s">
        <v>1499</v>
      </c>
      <c r="I581" s="1" t="s">
        <v>611</v>
      </c>
      <c r="J581" s="1" t="s">
        <v>16</v>
      </c>
      <c r="K581" s="1" t="s">
        <v>396</v>
      </c>
      <c r="L581" s="1" t="s">
        <v>1500</v>
      </c>
      <c r="M581">
        <f t="shared" si="63"/>
        <v>500</v>
      </c>
      <c r="N581" t="str">
        <f t="shared" si="64"/>
        <v>1987-05-09</v>
      </c>
      <c r="O581">
        <f t="shared" si="65"/>
        <v>24</v>
      </c>
      <c r="P581" t="str">
        <f t="shared" si="66"/>
        <v>mężczyzna</v>
      </c>
      <c r="Q581">
        <f t="shared" si="67"/>
        <v>36</v>
      </c>
      <c r="R581">
        <f t="shared" si="68"/>
        <v>48</v>
      </c>
      <c r="S581">
        <f t="shared" ca="1" si="69"/>
        <v>20</v>
      </c>
    </row>
    <row r="582" spans="1:19">
      <c r="A582" s="1" t="s">
        <v>19</v>
      </c>
      <c r="B582" s="2">
        <v>400</v>
      </c>
      <c r="C582" s="1">
        <v>400</v>
      </c>
      <c r="D582" s="1" t="s">
        <v>704</v>
      </c>
      <c r="E582" s="1">
        <v>16</v>
      </c>
      <c r="F582" s="3">
        <v>1473.04</v>
      </c>
      <c r="G582" s="1">
        <v>3</v>
      </c>
      <c r="H582" s="1" t="s">
        <v>1501</v>
      </c>
      <c r="I582" s="1" t="s">
        <v>706</v>
      </c>
      <c r="J582" s="1" t="s">
        <v>16</v>
      </c>
      <c r="K582" s="1" t="s">
        <v>63</v>
      </c>
      <c r="L582" s="1" t="s">
        <v>18</v>
      </c>
      <c r="M582">
        <f t="shared" si="63"/>
        <v>400</v>
      </c>
      <c r="N582" t="str">
        <f t="shared" si="64"/>
        <v>1946-09-02</v>
      </c>
      <c r="O582">
        <f t="shared" si="65"/>
        <v>65</v>
      </c>
      <c r="P582" t="str">
        <f t="shared" si="66"/>
        <v>mężczyzna</v>
      </c>
      <c r="Q582">
        <f t="shared" si="67"/>
        <v>167</v>
      </c>
      <c r="R582">
        <f t="shared" si="68"/>
        <v>48</v>
      </c>
      <c r="S582">
        <f t="shared" ca="1" si="69"/>
        <v>0</v>
      </c>
    </row>
    <row r="583" spans="1:19">
      <c r="A583" s="1" t="s">
        <v>19</v>
      </c>
      <c r="B583" s="2">
        <v>300</v>
      </c>
      <c r="C583" s="1">
        <v>300</v>
      </c>
      <c r="D583" s="1" t="s">
        <v>1502</v>
      </c>
      <c r="E583" s="1">
        <v>13</v>
      </c>
      <c r="F583" s="3">
        <v>802.83</v>
      </c>
      <c r="G583" s="1">
        <v>0</v>
      </c>
      <c r="H583" s="1" t="s">
        <v>1503</v>
      </c>
      <c r="I583" s="1" t="s">
        <v>157</v>
      </c>
      <c r="J583" s="1" t="s">
        <v>16</v>
      </c>
      <c r="K583" s="1" t="s">
        <v>63</v>
      </c>
      <c r="L583" s="1" t="s">
        <v>1430</v>
      </c>
      <c r="M583">
        <f t="shared" si="63"/>
        <v>300</v>
      </c>
      <c r="N583" t="str">
        <f t="shared" si="64"/>
        <v>1946-08-20</v>
      </c>
      <c r="O583">
        <f t="shared" si="65"/>
        <v>65</v>
      </c>
      <c r="P583" t="str">
        <f t="shared" si="66"/>
        <v>kobieta</v>
      </c>
      <c r="Q583">
        <f t="shared" si="67"/>
        <v>203</v>
      </c>
      <c r="R583">
        <f t="shared" si="68"/>
        <v>48</v>
      </c>
      <c r="S583">
        <f t="shared" ca="1" si="69"/>
        <v>3</v>
      </c>
    </row>
    <row r="584" spans="1:19">
      <c r="A584" s="1" t="s">
        <v>19</v>
      </c>
      <c r="B584" s="2">
        <v>200</v>
      </c>
      <c r="C584" s="1">
        <v>200</v>
      </c>
      <c r="D584" s="1" t="s">
        <v>667</v>
      </c>
      <c r="E584" s="1">
        <v>16</v>
      </c>
      <c r="F584" s="3">
        <v>749.28</v>
      </c>
      <c r="G584" s="1">
        <v>6</v>
      </c>
      <c r="H584" s="1" t="s">
        <v>1504</v>
      </c>
      <c r="I584" s="1" t="s">
        <v>669</v>
      </c>
      <c r="J584" s="1" t="s">
        <v>16</v>
      </c>
      <c r="K584" s="1" t="s">
        <v>63</v>
      </c>
      <c r="L584" s="1" t="s">
        <v>18</v>
      </c>
      <c r="M584">
        <f t="shared" si="63"/>
        <v>200</v>
      </c>
      <c r="N584" t="str">
        <f t="shared" si="64"/>
        <v>1958-05-27</v>
      </c>
      <c r="O584">
        <f t="shared" si="65"/>
        <v>53</v>
      </c>
      <c r="P584" t="str">
        <f t="shared" si="66"/>
        <v>kobieta</v>
      </c>
      <c r="Q584">
        <f t="shared" si="67"/>
        <v>67</v>
      </c>
      <c r="R584">
        <f t="shared" si="68"/>
        <v>48</v>
      </c>
      <c r="S584">
        <f t="shared" ca="1" si="69"/>
        <v>0</v>
      </c>
    </row>
    <row r="585" spans="1:19">
      <c r="A585" s="1" t="s">
        <v>19</v>
      </c>
      <c r="B585" s="2">
        <v>250</v>
      </c>
      <c r="C585" s="1">
        <v>250</v>
      </c>
      <c r="D585" s="1" t="s">
        <v>350</v>
      </c>
      <c r="E585" s="1">
        <v>12</v>
      </c>
      <c r="F585" s="3">
        <v>1500</v>
      </c>
      <c r="G585" s="1">
        <v>0</v>
      </c>
      <c r="H585" s="1" t="s">
        <v>1505</v>
      </c>
      <c r="I585" s="1" t="s">
        <v>352</v>
      </c>
      <c r="J585" s="1" t="s">
        <v>353</v>
      </c>
      <c r="K585" s="1" t="s">
        <v>63</v>
      </c>
      <c r="L585" s="1" t="s">
        <v>1150</v>
      </c>
      <c r="M585">
        <f t="shared" si="63"/>
        <v>250</v>
      </c>
      <c r="N585" t="str">
        <f t="shared" si="64"/>
        <v>1990-08-20</v>
      </c>
      <c r="O585">
        <f t="shared" si="65"/>
        <v>21</v>
      </c>
      <c r="P585" t="str">
        <f t="shared" si="66"/>
        <v>mężczyzna</v>
      </c>
      <c r="Q585">
        <f t="shared" si="67"/>
        <v>8</v>
      </c>
      <c r="R585">
        <f t="shared" si="68"/>
        <v>0</v>
      </c>
      <c r="S585">
        <f t="shared" ca="1" si="69"/>
        <v>0</v>
      </c>
    </row>
    <row r="586" spans="1:19">
      <c r="A586" s="1" t="s">
        <v>24</v>
      </c>
      <c r="B586" s="2">
        <v>400</v>
      </c>
      <c r="C586" s="1">
        <v>0</v>
      </c>
      <c r="D586" s="1" t="s">
        <v>1506</v>
      </c>
      <c r="E586" s="1">
        <v>13</v>
      </c>
      <c r="F586" s="3">
        <v>1339.62</v>
      </c>
      <c r="G586" s="1">
        <v>0</v>
      </c>
      <c r="H586" s="1" t="s">
        <v>1507</v>
      </c>
      <c r="I586" s="1" t="s">
        <v>356</v>
      </c>
      <c r="J586" s="1" t="s">
        <v>16</v>
      </c>
      <c r="K586" s="1" t="s">
        <v>16</v>
      </c>
      <c r="L586" s="1" t="s">
        <v>28</v>
      </c>
      <c r="M586">
        <f t="shared" si="63"/>
        <v>400</v>
      </c>
      <c r="N586" t="str">
        <f t="shared" si="64"/>
        <v>1943-05-29</v>
      </c>
      <c r="O586">
        <f t="shared" si="65"/>
        <v>68</v>
      </c>
      <c r="P586" t="str">
        <f t="shared" si="66"/>
        <v>mężczyzna</v>
      </c>
      <c r="Q586">
        <f t="shared" si="67"/>
        <v>143</v>
      </c>
      <c r="R586">
        <f t="shared" si="68"/>
        <v>48</v>
      </c>
      <c r="S586">
        <f t="shared" ca="1" si="69"/>
        <v>0</v>
      </c>
    </row>
    <row r="587" spans="1:19">
      <c r="A587" s="1" t="s">
        <v>19</v>
      </c>
      <c r="B587" s="2">
        <v>200</v>
      </c>
      <c r="C587" s="1">
        <v>200</v>
      </c>
      <c r="D587" s="1" t="s">
        <v>727</v>
      </c>
      <c r="E587" s="1">
        <v>12</v>
      </c>
      <c r="F587" s="3">
        <v>980</v>
      </c>
      <c r="G587" s="1">
        <v>6</v>
      </c>
      <c r="H587" s="1" t="s">
        <v>1508</v>
      </c>
      <c r="I587" s="1" t="s">
        <v>729</v>
      </c>
      <c r="J587" s="1" t="s">
        <v>730</v>
      </c>
      <c r="K587" s="1" t="s">
        <v>63</v>
      </c>
      <c r="L587" s="1" t="s">
        <v>1212</v>
      </c>
      <c r="M587">
        <f t="shared" si="63"/>
        <v>200</v>
      </c>
      <c r="N587" t="str">
        <f t="shared" si="64"/>
        <v>1980-11-12</v>
      </c>
      <c r="O587">
        <f t="shared" si="65"/>
        <v>31</v>
      </c>
      <c r="P587" t="str">
        <f t="shared" si="66"/>
        <v>kobieta</v>
      </c>
      <c r="Q587">
        <f t="shared" si="67"/>
        <v>12</v>
      </c>
      <c r="R587">
        <f t="shared" si="68"/>
        <v>3</v>
      </c>
      <c r="S587">
        <f t="shared" ca="1" si="69"/>
        <v>2</v>
      </c>
    </row>
    <row r="588" spans="1:19">
      <c r="A588" s="1" t="s">
        <v>19</v>
      </c>
      <c r="B588" s="2">
        <v>200</v>
      </c>
      <c r="C588" s="1">
        <v>200</v>
      </c>
      <c r="D588" s="1" t="s">
        <v>484</v>
      </c>
      <c r="E588" s="1">
        <v>11</v>
      </c>
      <c r="F588" s="3">
        <v>2505</v>
      </c>
      <c r="G588" s="1">
        <v>0</v>
      </c>
      <c r="H588" s="1" t="s">
        <v>1509</v>
      </c>
      <c r="I588" s="1" t="s">
        <v>486</v>
      </c>
      <c r="J588" s="1" t="s">
        <v>16</v>
      </c>
      <c r="K588" s="1" t="s">
        <v>63</v>
      </c>
      <c r="L588" s="1" t="s">
        <v>1212</v>
      </c>
      <c r="M588">
        <f t="shared" si="63"/>
        <v>200</v>
      </c>
      <c r="N588" t="str">
        <f t="shared" si="64"/>
        <v>1971-12-06</v>
      </c>
      <c r="O588">
        <f t="shared" si="65"/>
        <v>40</v>
      </c>
      <c r="P588" t="str">
        <f t="shared" si="66"/>
        <v>kobieta</v>
      </c>
      <c r="Q588">
        <f t="shared" si="67"/>
        <v>166</v>
      </c>
      <c r="R588">
        <f t="shared" si="68"/>
        <v>48</v>
      </c>
      <c r="S588">
        <f t="shared" ca="1" si="69"/>
        <v>2</v>
      </c>
    </row>
    <row r="589" spans="1:19">
      <c r="A589" s="1" t="s">
        <v>19</v>
      </c>
      <c r="B589" s="2">
        <v>400</v>
      </c>
      <c r="C589" s="1">
        <v>400</v>
      </c>
      <c r="D589" s="1" t="s">
        <v>828</v>
      </c>
      <c r="E589" s="1">
        <v>13</v>
      </c>
      <c r="F589" s="3">
        <v>1500</v>
      </c>
      <c r="G589" s="1">
        <v>2</v>
      </c>
      <c r="H589" s="1" t="s">
        <v>1510</v>
      </c>
      <c r="I589" s="1" t="s">
        <v>830</v>
      </c>
      <c r="J589" s="1" t="s">
        <v>16</v>
      </c>
      <c r="K589" s="1" t="s">
        <v>63</v>
      </c>
      <c r="L589" s="1" t="s">
        <v>1212</v>
      </c>
      <c r="M589">
        <f t="shared" si="63"/>
        <v>400</v>
      </c>
      <c r="N589" t="str">
        <f t="shared" si="64"/>
        <v>1951-06-24</v>
      </c>
      <c r="O589">
        <f t="shared" si="65"/>
        <v>60</v>
      </c>
      <c r="P589" t="str">
        <f t="shared" si="66"/>
        <v>kobieta</v>
      </c>
      <c r="Q589">
        <f t="shared" si="67"/>
        <v>62</v>
      </c>
      <c r="R589">
        <f t="shared" si="68"/>
        <v>48</v>
      </c>
      <c r="S589">
        <f t="shared" ca="1" si="69"/>
        <v>2</v>
      </c>
    </row>
    <row r="590" spans="1:19">
      <c r="A590" s="1" t="s">
        <v>19</v>
      </c>
      <c r="B590" s="2">
        <v>800</v>
      </c>
      <c r="C590" s="1">
        <v>800</v>
      </c>
      <c r="D590" s="1" t="s">
        <v>911</v>
      </c>
      <c r="E590" s="1">
        <v>13</v>
      </c>
      <c r="F590" s="3">
        <v>2120</v>
      </c>
      <c r="G590" s="1">
        <v>1</v>
      </c>
      <c r="H590" s="1" t="s">
        <v>1511</v>
      </c>
      <c r="I590" s="1" t="s">
        <v>913</v>
      </c>
      <c r="J590" s="1" t="s">
        <v>16</v>
      </c>
      <c r="K590" s="1" t="s">
        <v>63</v>
      </c>
      <c r="L590" s="1" t="s">
        <v>1323</v>
      </c>
      <c r="M590">
        <f t="shared" si="63"/>
        <v>800</v>
      </c>
      <c r="N590" t="str">
        <f t="shared" si="64"/>
        <v>1943-11-21</v>
      </c>
      <c r="O590">
        <f t="shared" si="65"/>
        <v>68</v>
      </c>
      <c r="P590" t="str">
        <f t="shared" si="66"/>
        <v>kobieta</v>
      </c>
      <c r="Q590">
        <f t="shared" si="67"/>
        <v>121</v>
      </c>
      <c r="R590">
        <f t="shared" si="68"/>
        <v>48</v>
      </c>
      <c r="S590">
        <f t="shared" ca="1" si="69"/>
        <v>5</v>
      </c>
    </row>
    <row r="591" spans="1:19">
      <c r="A591" s="1" t="s">
        <v>12</v>
      </c>
      <c r="B591" s="2">
        <v>500</v>
      </c>
      <c r="C591" s="1">
        <v>500</v>
      </c>
      <c r="D591" s="1" t="s">
        <v>1512</v>
      </c>
      <c r="E591" s="1">
        <v>11</v>
      </c>
      <c r="F591" s="3">
        <v>1870</v>
      </c>
      <c r="G591" s="1">
        <v>0</v>
      </c>
      <c r="H591" s="1" t="s">
        <v>1513</v>
      </c>
      <c r="I591" s="1" t="s">
        <v>1514</v>
      </c>
      <c r="J591" s="1" t="s">
        <v>16</v>
      </c>
      <c r="K591" s="1" t="s">
        <v>63</v>
      </c>
      <c r="L591" s="1" t="s">
        <v>1347</v>
      </c>
      <c r="M591">
        <f t="shared" si="63"/>
        <v>500</v>
      </c>
      <c r="N591" t="str">
        <f t="shared" si="64"/>
        <v>1970-09-25</v>
      </c>
      <c r="O591">
        <f t="shared" si="65"/>
        <v>41</v>
      </c>
      <c r="P591" t="str">
        <f t="shared" si="66"/>
        <v>kobieta</v>
      </c>
      <c r="Q591">
        <f t="shared" si="67"/>
        <v>112</v>
      </c>
      <c r="R591">
        <f t="shared" si="68"/>
        <v>48</v>
      </c>
      <c r="S591">
        <f t="shared" ca="1" si="69"/>
        <v>10</v>
      </c>
    </row>
    <row r="592" spans="1:19">
      <c r="A592" s="1" t="s">
        <v>12</v>
      </c>
      <c r="B592" s="2">
        <v>200</v>
      </c>
      <c r="C592" s="1">
        <v>200</v>
      </c>
      <c r="D592" s="1" t="s">
        <v>785</v>
      </c>
      <c r="E592" s="1">
        <v>13</v>
      </c>
      <c r="F592" s="3">
        <v>1233</v>
      </c>
      <c r="G592" s="1">
        <v>5</v>
      </c>
      <c r="H592" s="1" t="s">
        <v>1515</v>
      </c>
      <c r="I592" s="1" t="s">
        <v>787</v>
      </c>
      <c r="J592" s="1" t="s">
        <v>16</v>
      </c>
      <c r="K592" s="1" t="s">
        <v>1516</v>
      </c>
      <c r="L592" s="1" t="s">
        <v>1212</v>
      </c>
      <c r="M592">
        <f t="shared" si="63"/>
        <v>200</v>
      </c>
      <c r="N592" t="str">
        <f t="shared" si="64"/>
        <v>1948-04-24</v>
      </c>
      <c r="O592">
        <f t="shared" si="65"/>
        <v>63</v>
      </c>
      <c r="P592" t="str">
        <f t="shared" si="66"/>
        <v>kobieta</v>
      </c>
      <c r="Q592">
        <f t="shared" si="67"/>
        <v>125</v>
      </c>
      <c r="R592">
        <f t="shared" si="68"/>
        <v>48</v>
      </c>
      <c r="S592">
        <f t="shared" ca="1" si="69"/>
        <v>0</v>
      </c>
    </row>
    <row r="593" spans="1:19">
      <c r="A593" s="1" t="s">
        <v>12</v>
      </c>
      <c r="B593" s="2">
        <v>477.41</v>
      </c>
      <c r="C593" s="1">
        <v>477.41</v>
      </c>
      <c r="D593" s="1" t="s">
        <v>678</v>
      </c>
      <c r="E593" s="1">
        <v>11</v>
      </c>
      <c r="F593" s="3">
        <v>1250</v>
      </c>
      <c r="G593" s="1">
        <v>1</v>
      </c>
      <c r="H593" s="1" t="s">
        <v>1517</v>
      </c>
      <c r="I593" s="1" t="s">
        <v>680</v>
      </c>
      <c r="J593" s="1" t="s">
        <v>16</v>
      </c>
      <c r="K593" s="1" t="s">
        <v>1516</v>
      </c>
      <c r="L593" s="1" t="s">
        <v>1518</v>
      </c>
      <c r="M593">
        <f t="shared" si="63"/>
        <v>477.41</v>
      </c>
      <c r="N593" t="str">
        <f t="shared" si="64"/>
        <v>1950-01-28</v>
      </c>
      <c r="O593">
        <f t="shared" si="65"/>
        <v>61</v>
      </c>
      <c r="P593" t="str">
        <f t="shared" si="66"/>
        <v>mężczyzna</v>
      </c>
      <c r="Q593">
        <f t="shared" si="67"/>
        <v>67</v>
      </c>
      <c r="R593">
        <f t="shared" si="68"/>
        <v>48</v>
      </c>
      <c r="S593">
        <f t="shared" ca="1" si="69"/>
        <v>10</v>
      </c>
    </row>
    <row r="594" spans="1:19">
      <c r="A594" s="1" t="s">
        <v>12</v>
      </c>
      <c r="B594" s="2">
        <v>299.27999999999997</v>
      </c>
      <c r="C594" s="1">
        <v>299.27999999999997</v>
      </c>
      <c r="D594" s="1" t="s">
        <v>881</v>
      </c>
      <c r="E594" s="1">
        <v>16</v>
      </c>
      <c r="F594" s="3">
        <v>1235</v>
      </c>
      <c r="G594" s="1">
        <v>1</v>
      </c>
      <c r="H594" s="1" t="s">
        <v>1519</v>
      </c>
      <c r="I594" s="1" t="s">
        <v>726</v>
      </c>
      <c r="J594" s="1" t="s">
        <v>16</v>
      </c>
      <c r="K594" s="1" t="s">
        <v>1516</v>
      </c>
      <c r="L594" s="1" t="s">
        <v>1520</v>
      </c>
      <c r="M594">
        <f t="shared" si="63"/>
        <v>299.27999999999997</v>
      </c>
      <c r="N594" t="str">
        <f t="shared" si="64"/>
        <v>1941-01-02</v>
      </c>
      <c r="O594">
        <f t="shared" si="65"/>
        <v>70</v>
      </c>
      <c r="P594" t="str">
        <f t="shared" si="66"/>
        <v>kobieta</v>
      </c>
      <c r="Q594">
        <f t="shared" si="67"/>
        <v>35</v>
      </c>
      <c r="R594">
        <f t="shared" si="68"/>
        <v>48</v>
      </c>
      <c r="S594">
        <f t="shared" ca="1" si="69"/>
        <v>270</v>
      </c>
    </row>
    <row r="595" spans="1:19">
      <c r="A595" s="1" t="s">
        <v>19</v>
      </c>
      <c r="B595" s="2">
        <v>300</v>
      </c>
      <c r="C595" s="1">
        <v>200</v>
      </c>
      <c r="D595" s="1" t="s">
        <v>1521</v>
      </c>
      <c r="E595" s="1">
        <v>13</v>
      </c>
      <c r="F595" s="3">
        <v>1642.87</v>
      </c>
      <c r="G595" s="1">
        <v>0</v>
      </c>
      <c r="H595" s="1" t="s">
        <v>1522</v>
      </c>
      <c r="I595" s="1" t="s">
        <v>328</v>
      </c>
      <c r="J595" s="1" t="s">
        <v>16</v>
      </c>
      <c r="K595" s="1" t="s">
        <v>1516</v>
      </c>
      <c r="L595" s="1" t="s">
        <v>1212</v>
      </c>
      <c r="M595">
        <f t="shared" si="63"/>
        <v>200</v>
      </c>
      <c r="N595" t="str">
        <f t="shared" si="64"/>
        <v>1941-02-26</v>
      </c>
      <c r="O595">
        <f t="shared" si="65"/>
        <v>70</v>
      </c>
      <c r="P595" t="str">
        <f t="shared" si="66"/>
        <v>mężczyzna</v>
      </c>
      <c r="Q595">
        <f t="shared" si="67"/>
        <v>71</v>
      </c>
      <c r="R595">
        <f t="shared" si="68"/>
        <v>48</v>
      </c>
      <c r="S595">
        <f t="shared" ca="1" si="69"/>
        <v>0</v>
      </c>
    </row>
    <row r="596" spans="1:19">
      <c r="A596" s="1" t="s">
        <v>19</v>
      </c>
      <c r="B596" s="2">
        <v>200</v>
      </c>
      <c r="C596" s="1">
        <v>200</v>
      </c>
      <c r="D596" s="1" t="s">
        <v>777</v>
      </c>
      <c r="E596" s="1">
        <v>16</v>
      </c>
      <c r="F596" s="3">
        <v>634</v>
      </c>
      <c r="G596" s="1">
        <v>5</v>
      </c>
      <c r="H596" s="1" t="s">
        <v>1523</v>
      </c>
      <c r="I596" s="1" t="s">
        <v>425</v>
      </c>
      <c r="J596" s="1" t="s">
        <v>16</v>
      </c>
      <c r="K596" s="1" t="s">
        <v>1516</v>
      </c>
      <c r="L596" s="1" t="s">
        <v>1212</v>
      </c>
      <c r="M596">
        <f t="shared" si="63"/>
        <v>200</v>
      </c>
      <c r="N596" t="str">
        <f t="shared" si="64"/>
        <v>1953-09-06</v>
      </c>
      <c r="O596">
        <f t="shared" si="65"/>
        <v>58</v>
      </c>
      <c r="P596" t="str">
        <f t="shared" si="66"/>
        <v>kobieta</v>
      </c>
      <c r="Q596">
        <f t="shared" si="67"/>
        <v>53</v>
      </c>
      <c r="R596">
        <f t="shared" si="68"/>
        <v>48</v>
      </c>
      <c r="S596">
        <f t="shared" ca="1" si="69"/>
        <v>0</v>
      </c>
    </row>
    <row r="597" spans="1:19">
      <c r="A597" s="1" t="s">
        <v>12</v>
      </c>
      <c r="B597" s="2">
        <v>500</v>
      </c>
      <c r="C597" s="1">
        <v>500</v>
      </c>
      <c r="D597" s="1" t="s">
        <v>765</v>
      </c>
      <c r="E597" s="1">
        <v>13</v>
      </c>
      <c r="F597" s="3">
        <v>1310</v>
      </c>
      <c r="G597" s="1">
        <v>2</v>
      </c>
      <c r="H597" s="1" t="s">
        <v>1524</v>
      </c>
      <c r="I597" s="1" t="s">
        <v>31</v>
      </c>
      <c r="J597" s="1" t="s">
        <v>16</v>
      </c>
      <c r="K597" s="1" t="s">
        <v>1516</v>
      </c>
      <c r="L597" s="1" t="s">
        <v>1323</v>
      </c>
      <c r="M597">
        <f t="shared" si="63"/>
        <v>500</v>
      </c>
      <c r="N597" t="str">
        <f t="shared" si="64"/>
        <v>1950-11-10</v>
      </c>
      <c r="O597">
        <f t="shared" si="65"/>
        <v>61</v>
      </c>
      <c r="P597" t="str">
        <f t="shared" si="66"/>
        <v>kobieta</v>
      </c>
      <c r="Q597">
        <f t="shared" si="67"/>
        <v>80</v>
      </c>
      <c r="R597">
        <f t="shared" si="68"/>
        <v>48</v>
      </c>
      <c r="S597">
        <f t="shared" ca="1" si="69"/>
        <v>3</v>
      </c>
    </row>
    <row r="598" spans="1:19">
      <c r="A598" s="1" t="s">
        <v>12</v>
      </c>
      <c r="B598" s="2">
        <v>500</v>
      </c>
      <c r="C598" s="1">
        <v>500</v>
      </c>
      <c r="D598" s="1" t="s">
        <v>1525</v>
      </c>
      <c r="E598" s="1">
        <v>13</v>
      </c>
      <c r="F598" s="3">
        <v>1150</v>
      </c>
      <c r="G598" s="1">
        <v>0</v>
      </c>
      <c r="H598" s="1" t="s">
        <v>1526</v>
      </c>
      <c r="I598" s="1" t="s">
        <v>1527</v>
      </c>
      <c r="J598" s="1" t="s">
        <v>16</v>
      </c>
      <c r="K598" s="1" t="s">
        <v>1516</v>
      </c>
      <c r="L598" s="1" t="s">
        <v>1528</v>
      </c>
      <c r="M598">
        <f t="shared" si="63"/>
        <v>500</v>
      </c>
      <c r="N598" t="str">
        <f t="shared" si="64"/>
        <v>1936-04-17</v>
      </c>
      <c r="O598">
        <f t="shared" si="65"/>
        <v>75</v>
      </c>
      <c r="P598" t="str">
        <f t="shared" si="66"/>
        <v>mężczyzna</v>
      </c>
      <c r="Q598">
        <f t="shared" si="67"/>
        <v>140</v>
      </c>
      <c r="R598">
        <f t="shared" si="68"/>
        <v>48</v>
      </c>
      <c r="S598">
        <f t="shared" ca="1" si="69"/>
        <v>23</v>
      </c>
    </row>
    <row r="599" spans="1:19">
      <c r="A599" s="1" t="s">
        <v>19</v>
      </c>
      <c r="B599" s="2">
        <v>281.83999999999997</v>
      </c>
      <c r="C599" s="1">
        <v>281.83999999999997</v>
      </c>
      <c r="D599" s="1" t="s">
        <v>793</v>
      </c>
      <c r="E599" s="1">
        <v>12</v>
      </c>
      <c r="F599" s="3">
        <v>1032</v>
      </c>
      <c r="G599" s="1">
        <v>6</v>
      </c>
      <c r="H599" s="1" t="s">
        <v>1529</v>
      </c>
      <c r="I599" s="1" t="s">
        <v>795</v>
      </c>
      <c r="J599" s="1" t="s">
        <v>63</v>
      </c>
      <c r="K599" s="1" t="s">
        <v>1516</v>
      </c>
      <c r="L599" s="1" t="s">
        <v>1347</v>
      </c>
      <c r="M599">
        <f t="shared" si="63"/>
        <v>281.83999999999997</v>
      </c>
      <c r="N599" t="str">
        <f t="shared" si="64"/>
        <v>1965-11-24</v>
      </c>
      <c r="O599">
        <f t="shared" si="65"/>
        <v>46</v>
      </c>
      <c r="P599" t="str">
        <f t="shared" si="66"/>
        <v>kobieta</v>
      </c>
      <c r="Q599">
        <f t="shared" si="67"/>
        <v>40</v>
      </c>
      <c r="R599">
        <f t="shared" si="68"/>
        <v>0</v>
      </c>
      <c r="S599">
        <f t="shared" ca="1" si="69"/>
        <v>8</v>
      </c>
    </row>
    <row r="600" spans="1:19">
      <c r="A600" s="1" t="s">
        <v>19</v>
      </c>
      <c r="B600" s="2">
        <v>200</v>
      </c>
      <c r="C600" s="1">
        <v>200</v>
      </c>
      <c r="D600" s="1" t="s">
        <v>770</v>
      </c>
      <c r="E600" s="1">
        <v>13</v>
      </c>
      <c r="F600" s="3">
        <v>1287.6600000000001</v>
      </c>
      <c r="G600" s="1">
        <v>5</v>
      </c>
      <c r="H600" s="1" t="s">
        <v>1530</v>
      </c>
      <c r="I600" s="1" t="s">
        <v>772</v>
      </c>
      <c r="J600" s="1" t="s">
        <v>16</v>
      </c>
      <c r="K600" s="1" t="s">
        <v>1516</v>
      </c>
      <c r="L600" s="1" t="s">
        <v>1518</v>
      </c>
      <c r="M600">
        <f t="shared" si="63"/>
        <v>200</v>
      </c>
      <c r="N600" t="str">
        <f t="shared" si="64"/>
        <v>1948-09-05</v>
      </c>
      <c r="O600">
        <f t="shared" si="65"/>
        <v>63</v>
      </c>
      <c r="P600" t="str">
        <f t="shared" si="66"/>
        <v>mężczyzna</v>
      </c>
      <c r="Q600">
        <f t="shared" si="67"/>
        <v>98</v>
      </c>
      <c r="R600">
        <f t="shared" si="68"/>
        <v>48</v>
      </c>
      <c r="S600">
        <f t="shared" ca="1" si="69"/>
        <v>10</v>
      </c>
    </row>
    <row r="601" spans="1:19">
      <c r="A601" s="1" t="s">
        <v>12</v>
      </c>
      <c r="B601" s="2">
        <v>500</v>
      </c>
      <c r="C601" s="1">
        <v>450</v>
      </c>
      <c r="D601" s="1" t="s">
        <v>895</v>
      </c>
      <c r="E601" s="1">
        <v>13</v>
      </c>
      <c r="F601" s="3">
        <v>1019</v>
      </c>
      <c r="G601" s="1">
        <v>0</v>
      </c>
      <c r="H601" s="1" t="s">
        <v>1531</v>
      </c>
      <c r="I601" s="1" t="s">
        <v>897</v>
      </c>
      <c r="J601" s="1" t="s">
        <v>16</v>
      </c>
      <c r="K601" s="1" t="s">
        <v>1516</v>
      </c>
      <c r="L601" s="1" t="s">
        <v>1518</v>
      </c>
      <c r="M601">
        <f t="shared" si="63"/>
        <v>450</v>
      </c>
      <c r="N601" t="str">
        <f t="shared" si="64"/>
        <v>1943-03-20</v>
      </c>
      <c r="O601">
        <f t="shared" si="65"/>
        <v>68</v>
      </c>
      <c r="P601" t="str">
        <f t="shared" si="66"/>
        <v>kobieta</v>
      </c>
      <c r="Q601">
        <f t="shared" si="67"/>
        <v>135</v>
      </c>
      <c r="R601">
        <f t="shared" si="68"/>
        <v>48</v>
      </c>
      <c r="S601">
        <f t="shared" ca="1" si="69"/>
        <v>10</v>
      </c>
    </row>
    <row r="602" spans="1:19">
      <c r="A602" s="1" t="s">
        <v>19</v>
      </c>
      <c r="B602" s="2">
        <v>200</v>
      </c>
      <c r="C602" s="1">
        <v>200</v>
      </c>
      <c r="D602" s="1" t="s">
        <v>813</v>
      </c>
      <c r="E602" s="1">
        <v>13</v>
      </c>
      <c r="F602" s="3">
        <v>803.86</v>
      </c>
      <c r="G602" s="1">
        <v>6</v>
      </c>
      <c r="H602" s="1" t="s">
        <v>1532</v>
      </c>
      <c r="I602" s="1" t="s">
        <v>815</v>
      </c>
      <c r="J602" s="1" t="s">
        <v>16</v>
      </c>
      <c r="K602" s="1" t="s">
        <v>1516</v>
      </c>
      <c r="L602" s="1" t="s">
        <v>1236</v>
      </c>
      <c r="M602">
        <f t="shared" si="63"/>
        <v>200</v>
      </c>
      <c r="N602" t="str">
        <f t="shared" si="64"/>
        <v>1943-01-28</v>
      </c>
      <c r="O602">
        <f t="shared" si="65"/>
        <v>68</v>
      </c>
      <c r="P602" t="str">
        <f t="shared" si="66"/>
        <v>kobieta</v>
      </c>
      <c r="Q602">
        <f t="shared" si="67"/>
        <v>160</v>
      </c>
      <c r="R602">
        <f t="shared" si="68"/>
        <v>48</v>
      </c>
      <c r="S602">
        <f t="shared" ca="1" si="69"/>
        <v>2</v>
      </c>
    </row>
    <row r="603" spans="1:19">
      <c r="A603" s="1" t="s">
        <v>19</v>
      </c>
      <c r="B603" s="2">
        <v>530</v>
      </c>
      <c r="C603" s="1">
        <v>530</v>
      </c>
      <c r="D603" s="1" t="s">
        <v>378</v>
      </c>
      <c r="E603" s="1">
        <v>13</v>
      </c>
      <c r="F603" s="3">
        <v>1691.3</v>
      </c>
      <c r="G603" s="1">
        <v>2</v>
      </c>
      <c r="H603" s="1" t="s">
        <v>1533</v>
      </c>
      <c r="I603" s="1" t="s">
        <v>281</v>
      </c>
      <c r="J603" s="1" t="s">
        <v>16</v>
      </c>
      <c r="K603" s="1" t="s">
        <v>1516</v>
      </c>
      <c r="L603" s="1" t="s">
        <v>1267</v>
      </c>
      <c r="M603">
        <f t="shared" si="63"/>
        <v>530</v>
      </c>
      <c r="N603" t="str">
        <f t="shared" si="64"/>
        <v>1949-07-18</v>
      </c>
      <c r="O603">
        <f t="shared" si="65"/>
        <v>62</v>
      </c>
      <c r="P603" t="str">
        <f t="shared" si="66"/>
        <v>kobieta</v>
      </c>
      <c r="Q603">
        <f t="shared" si="67"/>
        <v>75</v>
      </c>
      <c r="R603">
        <f t="shared" si="68"/>
        <v>48</v>
      </c>
      <c r="S603">
        <f t="shared" ca="1" si="69"/>
        <v>7</v>
      </c>
    </row>
    <row r="604" spans="1:19">
      <c r="A604" s="1" t="s">
        <v>12</v>
      </c>
      <c r="B604" s="2">
        <v>200</v>
      </c>
      <c r="C604" s="1">
        <v>200</v>
      </c>
      <c r="D604" s="1" t="s">
        <v>687</v>
      </c>
      <c r="E604" s="1">
        <v>11</v>
      </c>
      <c r="F604" s="3">
        <v>1000</v>
      </c>
      <c r="G604" s="1">
        <v>1</v>
      </c>
      <c r="H604" s="1" t="s">
        <v>1534</v>
      </c>
      <c r="I604" s="1" t="s">
        <v>689</v>
      </c>
      <c r="J604" s="1" t="s">
        <v>16</v>
      </c>
      <c r="K604" s="1" t="s">
        <v>1516</v>
      </c>
      <c r="L604" s="1" t="s">
        <v>1518</v>
      </c>
      <c r="M604">
        <f t="shared" si="63"/>
        <v>200</v>
      </c>
      <c r="N604" t="str">
        <f t="shared" si="64"/>
        <v>1970-08-10</v>
      </c>
      <c r="O604">
        <f t="shared" si="65"/>
        <v>41</v>
      </c>
      <c r="P604" t="str">
        <f t="shared" si="66"/>
        <v>kobieta</v>
      </c>
      <c r="Q604">
        <f t="shared" si="67"/>
        <v>63</v>
      </c>
      <c r="R604">
        <f t="shared" si="68"/>
        <v>48</v>
      </c>
      <c r="S604">
        <f t="shared" ca="1" si="69"/>
        <v>10</v>
      </c>
    </row>
    <row r="605" spans="1:19">
      <c r="A605" s="1" t="s">
        <v>19</v>
      </c>
      <c r="B605" s="2">
        <v>500</v>
      </c>
      <c r="C605" s="1">
        <v>500</v>
      </c>
      <c r="D605" s="1" t="s">
        <v>853</v>
      </c>
      <c r="E605" s="1">
        <v>16</v>
      </c>
      <c r="F605" s="3">
        <v>2300</v>
      </c>
      <c r="G605" s="1">
        <v>7</v>
      </c>
      <c r="H605" s="1" t="s">
        <v>1535</v>
      </c>
      <c r="I605" s="1" t="s">
        <v>855</v>
      </c>
      <c r="J605" s="1" t="s">
        <v>16</v>
      </c>
      <c r="K605" s="1" t="s">
        <v>1516</v>
      </c>
      <c r="L605" s="1" t="s">
        <v>1212</v>
      </c>
      <c r="M605">
        <f t="shared" si="63"/>
        <v>500</v>
      </c>
      <c r="N605" t="str">
        <f t="shared" si="64"/>
        <v>1956-06-30</v>
      </c>
      <c r="O605">
        <f t="shared" si="65"/>
        <v>55</v>
      </c>
      <c r="P605" t="str">
        <f t="shared" si="66"/>
        <v>kobieta</v>
      </c>
      <c r="Q605">
        <f t="shared" si="67"/>
        <v>65</v>
      </c>
      <c r="R605">
        <f t="shared" si="68"/>
        <v>48</v>
      </c>
      <c r="S605">
        <f t="shared" ca="1" si="69"/>
        <v>0</v>
      </c>
    </row>
    <row r="606" spans="1:19">
      <c r="A606" s="1" t="s">
        <v>19</v>
      </c>
      <c r="B606" s="2">
        <v>400</v>
      </c>
      <c r="C606" s="1">
        <v>400</v>
      </c>
      <c r="D606" s="1" t="s">
        <v>741</v>
      </c>
      <c r="E606" s="1">
        <v>12</v>
      </c>
      <c r="F606" s="3">
        <v>1000</v>
      </c>
      <c r="G606" s="1">
        <v>6</v>
      </c>
      <c r="H606" s="1" t="s">
        <v>1536</v>
      </c>
      <c r="I606" s="1" t="s">
        <v>743</v>
      </c>
      <c r="J606" s="1" t="s">
        <v>63</v>
      </c>
      <c r="K606" s="1" t="s">
        <v>1516</v>
      </c>
      <c r="L606" s="1" t="s">
        <v>18</v>
      </c>
      <c r="M606">
        <f t="shared" si="63"/>
        <v>400</v>
      </c>
      <c r="N606" t="str">
        <f t="shared" si="64"/>
        <v>1961-05-20</v>
      </c>
      <c r="O606">
        <f t="shared" si="65"/>
        <v>50</v>
      </c>
      <c r="P606" t="str">
        <f t="shared" si="66"/>
        <v>kobieta</v>
      </c>
      <c r="Q606">
        <f t="shared" si="67"/>
        <v>34</v>
      </c>
      <c r="R606">
        <f t="shared" si="68"/>
        <v>0</v>
      </c>
      <c r="S606">
        <f t="shared" ca="1" si="69"/>
        <v>0</v>
      </c>
    </row>
    <row r="607" spans="1:19">
      <c r="A607" s="1" t="s">
        <v>19</v>
      </c>
      <c r="B607" s="2">
        <v>400</v>
      </c>
      <c r="C607" s="1">
        <v>400</v>
      </c>
      <c r="D607" s="1" t="s">
        <v>744</v>
      </c>
      <c r="E607" s="1">
        <v>12</v>
      </c>
      <c r="F607" s="3">
        <v>1000</v>
      </c>
      <c r="G607" s="1">
        <v>6</v>
      </c>
      <c r="H607" s="1" t="s">
        <v>1537</v>
      </c>
      <c r="I607" s="1" t="s">
        <v>395</v>
      </c>
      <c r="J607" s="1" t="s">
        <v>746</v>
      </c>
      <c r="K607" s="1" t="s">
        <v>1516</v>
      </c>
      <c r="L607" s="1" t="s">
        <v>18</v>
      </c>
      <c r="M607">
        <f t="shared" si="63"/>
        <v>400</v>
      </c>
      <c r="N607" t="str">
        <f t="shared" si="64"/>
        <v>1951-04-12</v>
      </c>
      <c r="O607">
        <f t="shared" si="65"/>
        <v>60</v>
      </c>
      <c r="P607" t="str">
        <f t="shared" si="66"/>
        <v>mężczyzna</v>
      </c>
      <c r="Q607">
        <f t="shared" si="67"/>
        <v>14</v>
      </c>
      <c r="R607">
        <f t="shared" si="68"/>
        <v>0</v>
      </c>
      <c r="S607">
        <f t="shared" ca="1" si="69"/>
        <v>0</v>
      </c>
    </row>
    <row r="608" spans="1:19">
      <c r="A608" s="1" t="s">
        <v>12</v>
      </c>
      <c r="B608" s="2">
        <v>600</v>
      </c>
      <c r="C608" s="1">
        <v>600</v>
      </c>
      <c r="D608" s="1" t="s">
        <v>856</v>
      </c>
      <c r="E608" s="1">
        <v>11</v>
      </c>
      <c r="F608" s="3">
        <v>2100</v>
      </c>
      <c r="G608" s="1">
        <v>1</v>
      </c>
      <c r="H608" s="1" t="s">
        <v>1538</v>
      </c>
      <c r="I608" s="1" t="s">
        <v>858</v>
      </c>
      <c r="J608" s="1" t="s">
        <v>16</v>
      </c>
      <c r="K608" s="1" t="s">
        <v>1516</v>
      </c>
      <c r="L608" s="1" t="s">
        <v>18</v>
      </c>
      <c r="M608">
        <f t="shared" si="63"/>
        <v>600</v>
      </c>
      <c r="N608" t="str">
        <f t="shared" si="64"/>
        <v>1984-03-11</v>
      </c>
      <c r="O608">
        <f t="shared" si="65"/>
        <v>27</v>
      </c>
      <c r="P608" t="str">
        <f t="shared" si="66"/>
        <v>kobieta</v>
      </c>
      <c r="Q608">
        <f t="shared" si="67"/>
        <v>25</v>
      </c>
      <c r="R608">
        <f t="shared" si="68"/>
        <v>48</v>
      </c>
      <c r="S608">
        <f t="shared" ca="1" si="69"/>
        <v>0</v>
      </c>
    </row>
    <row r="609" spans="1:19">
      <c r="A609" s="1" t="s">
        <v>19</v>
      </c>
      <c r="B609" s="2">
        <v>200</v>
      </c>
      <c r="C609" s="1">
        <v>200</v>
      </c>
      <c r="D609" s="1" t="s">
        <v>782</v>
      </c>
      <c r="E609" s="1">
        <v>11</v>
      </c>
      <c r="F609" s="3">
        <v>1400</v>
      </c>
      <c r="G609" s="1">
        <v>6</v>
      </c>
      <c r="H609" s="1" t="s">
        <v>1539</v>
      </c>
      <c r="I609" s="1" t="s">
        <v>784</v>
      </c>
      <c r="J609" s="1" t="s">
        <v>16</v>
      </c>
      <c r="K609" s="1" t="s">
        <v>1516</v>
      </c>
      <c r="L609" s="1" t="s">
        <v>1127</v>
      </c>
      <c r="M609">
        <f t="shared" si="63"/>
        <v>200</v>
      </c>
      <c r="N609" t="str">
        <f t="shared" si="64"/>
        <v>1957-01-13</v>
      </c>
      <c r="O609">
        <f t="shared" si="65"/>
        <v>54</v>
      </c>
      <c r="P609" t="str">
        <f t="shared" si="66"/>
        <v>kobieta</v>
      </c>
      <c r="Q609">
        <f t="shared" si="67"/>
        <v>119</v>
      </c>
      <c r="R609">
        <f t="shared" si="68"/>
        <v>48</v>
      </c>
      <c r="S609">
        <f t="shared" ca="1" si="69"/>
        <v>0</v>
      </c>
    </row>
    <row r="610" spans="1:19">
      <c r="A610" s="1" t="s">
        <v>19</v>
      </c>
      <c r="B610" s="2">
        <v>600</v>
      </c>
      <c r="C610" s="1">
        <v>500</v>
      </c>
      <c r="D610" s="1" t="s">
        <v>826</v>
      </c>
      <c r="E610" s="1">
        <v>16</v>
      </c>
      <c r="F610" s="3">
        <v>2150</v>
      </c>
      <c r="G610" s="1">
        <v>0</v>
      </c>
      <c r="H610" s="1" t="s">
        <v>1540</v>
      </c>
      <c r="I610" s="1" t="s">
        <v>474</v>
      </c>
      <c r="J610" s="1" t="s">
        <v>16</v>
      </c>
      <c r="K610" s="1" t="s">
        <v>1516</v>
      </c>
      <c r="L610" s="1" t="s">
        <v>1212</v>
      </c>
      <c r="M610">
        <f t="shared" si="63"/>
        <v>500</v>
      </c>
      <c r="N610" t="str">
        <f t="shared" si="64"/>
        <v>1961-07-18</v>
      </c>
      <c r="O610">
        <f t="shared" si="65"/>
        <v>50</v>
      </c>
      <c r="P610" t="str">
        <f t="shared" si="66"/>
        <v>mężczyzna</v>
      </c>
      <c r="Q610">
        <f t="shared" si="67"/>
        <v>83</v>
      </c>
      <c r="R610">
        <f t="shared" si="68"/>
        <v>48</v>
      </c>
      <c r="S610">
        <f t="shared" ca="1" si="69"/>
        <v>0</v>
      </c>
    </row>
    <row r="611" spans="1:19">
      <c r="A611" s="1" t="s">
        <v>12</v>
      </c>
      <c r="B611" s="2">
        <v>618.26</v>
      </c>
      <c r="C611" s="1">
        <v>618.26</v>
      </c>
      <c r="D611" s="1" t="s">
        <v>878</v>
      </c>
      <c r="E611" s="1">
        <v>13</v>
      </c>
      <c r="F611" s="3">
        <v>3040</v>
      </c>
      <c r="G611" s="1">
        <v>2</v>
      </c>
      <c r="H611" s="1" t="s">
        <v>1541</v>
      </c>
      <c r="I611" s="1" t="s">
        <v>880</v>
      </c>
      <c r="J611" s="1" t="s">
        <v>16</v>
      </c>
      <c r="K611" s="1" t="s">
        <v>1516</v>
      </c>
      <c r="L611" s="1" t="s">
        <v>1236</v>
      </c>
      <c r="M611">
        <f t="shared" si="63"/>
        <v>618.26</v>
      </c>
      <c r="N611" t="str">
        <f t="shared" si="64"/>
        <v>1946-11-27</v>
      </c>
      <c r="O611">
        <f t="shared" si="65"/>
        <v>65</v>
      </c>
      <c r="P611" t="str">
        <f t="shared" si="66"/>
        <v>mężczyzna</v>
      </c>
      <c r="Q611">
        <f t="shared" si="67"/>
        <v>203</v>
      </c>
      <c r="R611">
        <f t="shared" si="68"/>
        <v>48</v>
      </c>
      <c r="S611">
        <f t="shared" ca="1" si="69"/>
        <v>2</v>
      </c>
    </row>
    <row r="612" spans="1:19">
      <c r="A612" s="1" t="s">
        <v>309</v>
      </c>
      <c r="B612" s="2">
        <v>500</v>
      </c>
      <c r="C612" s="1">
        <v>500</v>
      </c>
      <c r="D612" s="1" t="s">
        <v>648</v>
      </c>
      <c r="E612" s="1">
        <v>13</v>
      </c>
      <c r="F612" s="3">
        <v>815</v>
      </c>
      <c r="G612" s="1">
        <v>1</v>
      </c>
      <c r="H612" s="1" t="s">
        <v>1542</v>
      </c>
      <c r="I612" s="1" t="s">
        <v>650</v>
      </c>
      <c r="J612" s="1" t="s">
        <v>16</v>
      </c>
      <c r="K612" s="1" t="s">
        <v>1516</v>
      </c>
      <c r="L612" s="1" t="s">
        <v>1543</v>
      </c>
      <c r="M612">
        <f t="shared" si="63"/>
        <v>500</v>
      </c>
      <c r="N612" t="str">
        <f t="shared" si="64"/>
        <v>1944-09-12</v>
      </c>
      <c r="O612">
        <f t="shared" si="65"/>
        <v>67</v>
      </c>
      <c r="P612" t="str">
        <f t="shared" si="66"/>
        <v>kobieta</v>
      </c>
      <c r="Q612">
        <f t="shared" si="67"/>
        <v>146</v>
      </c>
      <c r="R612">
        <f t="shared" si="68"/>
        <v>48</v>
      </c>
      <c r="S612">
        <f t="shared" ca="1" si="69"/>
        <v>266</v>
      </c>
    </row>
    <row r="613" spans="1:19">
      <c r="A613" s="1" t="s">
        <v>12</v>
      </c>
      <c r="B613" s="2">
        <v>300</v>
      </c>
      <c r="C613" s="1">
        <v>300</v>
      </c>
      <c r="D613" s="1" t="s">
        <v>74</v>
      </c>
      <c r="E613" s="1">
        <v>13</v>
      </c>
      <c r="F613" s="3">
        <v>1300</v>
      </c>
      <c r="G613" s="1">
        <v>3</v>
      </c>
      <c r="H613" s="1" t="s">
        <v>1544</v>
      </c>
      <c r="I613" s="1" t="s">
        <v>76</v>
      </c>
      <c r="J613" s="1" t="s">
        <v>16</v>
      </c>
      <c r="K613" s="1" t="s">
        <v>1516</v>
      </c>
      <c r="L613" s="1" t="s">
        <v>1236</v>
      </c>
      <c r="M613">
        <f t="shared" si="63"/>
        <v>300</v>
      </c>
      <c r="N613" t="str">
        <f t="shared" si="64"/>
        <v>1934-02-01</v>
      </c>
      <c r="O613">
        <f t="shared" si="65"/>
        <v>77</v>
      </c>
      <c r="P613" t="str">
        <f t="shared" si="66"/>
        <v>kobieta</v>
      </c>
      <c r="Q613">
        <f t="shared" si="67"/>
        <v>195</v>
      </c>
      <c r="R613">
        <f t="shared" si="68"/>
        <v>48</v>
      </c>
      <c r="S613">
        <f t="shared" ca="1" si="69"/>
        <v>2</v>
      </c>
    </row>
    <row r="614" spans="1:19">
      <c r="A614" s="1" t="s">
        <v>19</v>
      </c>
      <c r="B614" s="2">
        <v>300</v>
      </c>
      <c r="C614" s="1">
        <v>300</v>
      </c>
      <c r="D614" s="1" t="s">
        <v>843</v>
      </c>
      <c r="E614" s="1">
        <v>11</v>
      </c>
      <c r="F614" s="3">
        <v>2800</v>
      </c>
      <c r="G614" s="1">
        <v>1</v>
      </c>
      <c r="H614" s="1" t="s">
        <v>1545</v>
      </c>
      <c r="I614" s="1" t="s">
        <v>717</v>
      </c>
      <c r="J614" s="1" t="s">
        <v>16</v>
      </c>
      <c r="K614" s="1" t="s">
        <v>1516</v>
      </c>
      <c r="L614" s="1" t="s">
        <v>1430</v>
      </c>
      <c r="M614">
        <f t="shared" si="63"/>
        <v>300</v>
      </c>
      <c r="N614" t="str">
        <f t="shared" si="64"/>
        <v>1956-04-05</v>
      </c>
      <c r="O614">
        <f t="shared" si="65"/>
        <v>55</v>
      </c>
      <c r="P614" t="str">
        <f t="shared" si="66"/>
        <v>kobieta</v>
      </c>
      <c r="Q614">
        <f t="shared" si="67"/>
        <v>11</v>
      </c>
      <c r="R614">
        <f t="shared" si="68"/>
        <v>48</v>
      </c>
      <c r="S614">
        <f t="shared" ca="1" si="69"/>
        <v>1</v>
      </c>
    </row>
    <row r="615" spans="1:19">
      <c r="A615" s="1" t="s">
        <v>19</v>
      </c>
      <c r="B615" s="2">
        <v>300</v>
      </c>
      <c r="C615" s="1">
        <v>300</v>
      </c>
      <c r="D615" s="1" t="s">
        <v>820</v>
      </c>
      <c r="E615" s="1">
        <v>11</v>
      </c>
      <c r="F615" s="3">
        <v>900</v>
      </c>
      <c r="G615" s="1">
        <v>6</v>
      </c>
      <c r="H615" s="1" t="s">
        <v>1546</v>
      </c>
      <c r="I615" s="1" t="s">
        <v>822</v>
      </c>
      <c r="J615" s="1" t="s">
        <v>16</v>
      </c>
      <c r="K615" s="1" t="s">
        <v>1547</v>
      </c>
      <c r="L615" s="1" t="s">
        <v>1457</v>
      </c>
      <c r="M615">
        <f t="shared" si="63"/>
        <v>300</v>
      </c>
      <c r="N615" t="str">
        <f t="shared" si="64"/>
        <v>1965-10-26</v>
      </c>
      <c r="O615">
        <f t="shared" si="65"/>
        <v>46</v>
      </c>
      <c r="P615" t="str">
        <f t="shared" si="66"/>
        <v>kobieta</v>
      </c>
      <c r="Q615">
        <f t="shared" si="67"/>
        <v>95</v>
      </c>
      <c r="R615">
        <f t="shared" si="68"/>
        <v>48</v>
      </c>
      <c r="S615">
        <f t="shared" ca="1" si="69"/>
        <v>7</v>
      </c>
    </row>
    <row r="616" spans="1:19">
      <c r="A616" s="1" t="s">
        <v>19</v>
      </c>
      <c r="B616" s="2">
        <v>278.98</v>
      </c>
      <c r="C616" s="1">
        <v>278.98</v>
      </c>
      <c r="D616" s="1" t="s">
        <v>900</v>
      </c>
      <c r="E616" s="1">
        <v>98</v>
      </c>
      <c r="F616" s="3">
        <v>1200</v>
      </c>
      <c r="G616" s="1">
        <v>6</v>
      </c>
      <c r="H616" s="1" t="s">
        <v>1548</v>
      </c>
      <c r="I616" s="1" t="s">
        <v>902</v>
      </c>
      <c r="J616" s="1" t="s">
        <v>16</v>
      </c>
      <c r="K616" s="1" t="s">
        <v>1547</v>
      </c>
      <c r="L616" s="1" t="s">
        <v>1267</v>
      </c>
      <c r="M616">
        <f t="shared" si="63"/>
        <v>278.98</v>
      </c>
      <c r="N616" t="str">
        <f t="shared" si="64"/>
        <v>1973-10-31</v>
      </c>
      <c r="O616">
        <f t="shared" si="65"/>
        <v>38</v>
      </c>
      <c r="P616" t="str">
        <f t="shared" si="66"/>
        <v>kobieta</v>
      </c>
      <c r="Q616">
        <f t="shared" si="67"/>
        <v>48</v>
      </c>
      <c r="R616">
        <f t="shared" si="68"/>
        <v>48</v>
      </c>
      <c r="S616">
        <f t="shared" ca="1" si="69"/>
        <v>5</v>
      </c>
    </row>
    <row r="617" spans="1:19">
      <c r="A617" s="1" t="s">
        <v>19</v>
      </c>
      <c r="B617" s="2">
        <v>400</v>
      </c>
      <c r="C617" s="1">
        <v>400</v>
      </c>
      <c r="D617" s="1" t="s">
        <v>868</v>
      </c>
      <c r="E617" s="1">
        <v>13</v>
      </c>
      <c r="F617" s="3">
        <v>1107</v>
      </c>
      <c r="G617" s="1">
        <v>0</v>
      </c>
      <c r="H617" s="1" t="s">
        <v>1549</v>
      </c>
      <c r="I617" s="1" t="s">
        <v>870</v>
      </c>
      <c r="J617" s="1" t="s">
        <v>16</v>
      </c>
      <c r="K617" s="1" t="s">
        <v>1547</v>
      </c>
      <c r="L617" s="1" t="s">
        <v>1236</v>
      </c>
      <c r="M617">
        <f t="shared" si="63"/>
        <v>400</v>
      </c>
      <c r="N617" t="str">
        <f t="shared" si="64"/>
        <v>1951-06-04</v>
      </c>
      <c r="O617">
        <f t="shared" si="65"/>
        <v>60</v>
      </c>
      <c r="P617" t="str">
        <f t="shared" si="66"/>
        <v>kobieta</v>
      </c>
      <c r="Q617">
        <f t="shared" si="67"/>
        <v>17</v>
      </c>
      <c r="R617">
        <f t="shared" si="68"/>
        <v>48</v>
      </c>
      <c r="S617">
        <f t="shared" ca="1" si="69"/>
        <v>0</v>
      </c>
    </row>
    <row r="618" spans="1:19">
      <c r="A618" s="1" t="s">
        <v>19</v>
      </c>
      <c r="B618" s="2">
        <v>200</v>
      </c>
      <c r="C618" s="1">
        <v>200</v>
      </c>
      <c r="D618" s="1" t="s">
        <v>886</v>
      </c>
      <c r="E618" s="1">
        <v>13</v>
      </c>
      <c r="F618" s="3">
        <v>1162</v>
      </c>
      <c r="G618" s="1">
        <v>6</v>
      </c>
      <c r="H618" s="1" t="s">
        <v>1550</v>
      </c>
      <c r="I618" s="1" t="s">
        <v>888</v>
      </c>
      <c r="J618" s="1" t="s">
        <v>16</v>
      </c>
      <c r="K618" s="1" t="s">
        <v>1547</v>
      </c>
      <c r="L618" s="1" t="s">
        <v>1236</v>
      </c>
      <c r="M618">
        <f t="shared" si="63"/>
        <v>200</v>
      </c>
      <c r="N618" t="str">
        <f t="shared" si="64"/>
        <v>1949-02-21</v>
      </c>
      <c r="O618">
        <f t="shared" si="65"/>
        <v>62</v>
      </c>
      <c r="P618" t="str">
        <f t="shared" si="66"/>
        <v>mężczyzna</v>
      </c>
      <c r="Q618">
        <f t="shared" si="67"/>
        <v>223</v>
      </c>
      <c r="R618">
        <f t="shared" si="68"/>
        <v>48</v>
      </c>
      <c r="S618">
        <f t="shared" ca="1" si="69"/>
        <v>0</v>
      </c>
    </row>
    <row r="619" spans="1:19">
      <c r="A619" s="1" t="s">
        <v>19</v>
      </c>
      <c r="B619" s="2">
        <v>500</v>
      </c>
      <c r="C619" s="1">
        <v>500</v>
      </c>
      <c r="D619" s="1" t="s">
        <v>1551</v>
      </c>
      <c r="E619" s="1">
        <v>13</v>
      </c>
      <c r="F619" s="3">
        <v>1900</v>
      </c>
      <c r="G619" s="1">
        <v>0</v>
      </c>
      <c r="H619" s="1" t="s">
        <v>1552</v>
      </c>
      <c r="I619" s="1" t="s">
        <v>1553</v>
      </c>
      <c r="J619" s="1" t="s">
        <v>16</v>
      </c>
      <c r="K619" s="1" t="s">
        <v>1547</v>
      </c>
      <c r="L619" s="1" t="s">
        <v>1430</v>
      </c>
      <c r="M619">
        <f t="shared" si="63"/>
        <v>500</v>
      </c>
      <c r="N619" t="str">
        <f t="shared" si="64"/>
        <v>1949-05-02</v>
      </c>
      <c r="O619">
        <f t="shared" si="65"/>
        <v>62</v>
      </c>
      <c r="P619" t="str">
        <f t="shared" si="66"/>
        <v>kobieta</v>
      </c>
      <c r="Q619">
        <f t="shared" si="67"/>
        <v>90</v>
      </c>
      <c r="R619">
        <f t="shared" si="68"/>
        <v>48</v>
      </c>
      <c r="S619">
        <f t="shared" ca="1" si="69"/>
        <v>0</v>
      </c>
    </row>
    <row r="620" spans="1:19">
      <c r="A620" s="1" t="s">
        <v>19</v>
      </c>
      <c r="B620" s="2">
        <v>300</v>
      </c>
      <c r="C620" s="1">
        <v>300</v>
      </c>
      <c r="D620" s="1" t="s">
        <v>862</v>
      </c>
      <c r="E620" s="1">
        <v>13</v>
      </c>
      <c r="F620" s="3">
        <v>1420</v>
      </c>
      <c r="G620" s="1">
        <v>0</v>
      </c>
      <c r="H620" s="1" t="s">
        <v>1554</v>
      </c>
      <c r="I620" s="1" t="s">
        <v>864</v>
      </c>
      <c r="J620" s="1" t="s">
        <v>16</v>
      </c>
      <c r="K620" s="1" t="s">
        <v>1547</v>
      </c>
      <c r="L620" s="1" t="s">
        <v>1457</v>
      </c>
      <c r="M620">
        <f t="shared" si="63"/>
        <v>300</v>
      </c>
      <c r="N620" t="str">
        <f t="shared" si="64"/>
        <v>1941-01-07</v>
      </c>
      <c r="O620">
        <f t="shared" si="65"/>
        <v>70</v>
      </c>
      <c r="P620" t="str">
        <f t="shared" si="66"/>
        <v>mężczyzna</v>
      </c>
      <c r="Q620">
        <f t="shared" si="67"/>
        <v>55</v>
      </c>
      <c r="R620">
        <f t="shared" si="68"/>
        <v>48</v>
      </c>
      <c r="S620">
        <f t="shared" ca="1" si="69"/>
        <v>7</v>
      </c>
    </row>
    <row r="621" spans="1:19">
      <c r="A621" s="1" t="s">
        <v>19</v>
      </c>
      <c r="B621" s="2">
        <v>272.77999999999997</v>
      </c>
      <c r="C621" s="1">
        <v>272.77999999999997</v>
      </c>
      <c r="D621" s="1" t="s">
        <v>774</v>
      </c>
      <c r="E621" s="1">
        <v>13</v>
      </c>
      <c r="F621" s="3">
        <v>1658</v>
      </c>
      <c r="G621" s="1">
        <v>6</v>
      </c>
      <c r="H621" s="1" t="s">
        <v>1555</v>
      </c>
      <c r="I621" s="1" t="s">
        <v>776</v>
      </c>
      <c r="J621" s="1" t="s">
        <v>16</v>
      </c>
      <c r="K621" s="1" t="s">
        <v>1547</v>
      </c>
      <c r="L621" s="1" t="s">
        <v>1236</v>
      </c>
      <c r="M621">
        <f t="shared" si="63"/>
        <v>272.77999999999997</v>
      </c>
      <c r="N621" t="str">
        <f t="shared" si="64"/>
        <v>1952-10-27</v>
      </c>
      <c r="O621">
        <f t="shared" si="65"/>
        <v>59</v>
      </c>
      <c r="P621" t="str">
        <f t="shared" si="66"/>
        <v>kobieta</v>
      </c>
      <c r="Q621">
        <f t="shared" si="67"/>
        <v>31</v>
      </c>
      <c r="R621">
        <f t="shared" si="68"/>
        <v>48</v>
      </c>
      <c r="S621">
        <f t="shared" ca="1" si="69"/>
        <v>0</v>
      </c>
    </row>
    <row r="622" spans="1:19">
      <c r="A622" s="1" t="s">
        <v>19</v>
      </c>
      <c r="B622" s="2">
        <v>700</v>
      </c>
      <c r="C622" s="1">
        <v>700</v>
      </c>
      <c r="D622" s="1" t="s">
        <v>762</v>
      </c>
      <c r="E622" s="1">
        <v>13</v>
      </c>
      <c r="F622" s="3">
        <v>2066</v>
      </c>
      <c r="G622" s="1">
        <v>6</v>
      </c>
      <c r="H622" s="1" t="s">
        <v>1556</v>
      </c>
      <c r="I622" s="1" t="s">
        <v>764</v>
      </c>
      <c r="J622" s="1" t="s">
        <v>16</v>
      </c>
      <c r="K622" s="1" t="s">
        <v>1547</v>
      </c>
      <c r="L622" s="1" t="s">
        <v>1347</v>
      </c>
      <c r="M622">
        <f t="shared" si="63"/>
        <v>700</v>
      </c>
      <c r="N622" t="str">
        <f t="shared" si="64"/>
        <v>1950-03-18</v>
      </c>
      <c r="O622">
        <f t="shared" si="65"/>
        <v>61</v>
      </c>
      <c r="P622" t="str">
        <f t="shared" si="66"/>
        <v>kobieta</v>
      </c>
      <c r="Q622">
        <f t="shared" si="67"/>
        <v>131</v>
      </c>
      <c r="R622">
        <f t="shared" si="68"/>
        <v>48</v>
      </c>
      <c r="S622">
        <f t="shared" ca="1" si="69"/>
        <v>6</v>
      </c>
    </row>
    <row r="623" spans="1:19">
      <c r="A623" s="1" t="s">
        <v>19</v>
      </c>
      <c r="B623" s="2">
        <v>300</v>
      </c>
      <c r="C623" s="1">
        <v>300</v>
      </c>
      <c r="D623" s="1" t="s">
        <v>908</v>
      </c>
      <c r="E623" s="1">
        <v>16</v>
      </c>
      <c r="F623" s="3">
        <v>1500</v>
      </c>
      <c r="G623" s="1">
        <v>1</v>
      </c>
      <c r="H623" s="1" t="s">
        <v>1557</v>
      </c>
      <c r="I623" s="1" t="s">
        <v>910</v>
      </c>
      <c r="J623" s="1" t="s">
        <v>16</v>
      </c>
      <c r="K623" s="1" t="s">
        <v>1547</v>
      </c>
      <c r="L623" s="1" t="s">
        <v>1323</v>
      </c>
      <c r="M623">
        <f t="shared" si="63"/>
        <v>300</v>
      </c>
      <c r="N623" t="str">
        <f t="shared" si="64"/>
        <v>1957-12-30</v>
      </c>
      <c r="O623">
        <f t="shared" si="65"/>
        <v>54</v>
      </c>
      <c r="P623" t="str">
        <f t="shared" si="66"/>
        <v>kobieta</v>
      </c>
      <c r="Q623">
        <f t="shared" si="67"/>
        <v>4</v>
      </c>
      <c r="R623">
        <f t="shared" si="68"/>
        <v>48</v>
      </c>
      <c r="S623">
        <f t="shared" ca="1" si="69"/>
        <v>1</v>
      </c>
    </row>
    <row r="624" spans="1:19">
      <c r="A624" s="1" t="s">
        <v>12</v>
      </c>
      <c r="B624" s="2">
        <v>512</v>
      </c>
      <c r="C624" s="1">
        <v>512</v>
      </c>
      <c r="D624" s="1" t="s">
        <v>674</v>
      </c>
      <c r="E624" s="1">
        <v>13</v>
      </c>
      <c r="F624" s="3">
        <v>1500</v>
      </c>
      <c r="G624" s="1">
        <v>6</v>
      </c>
      <c r="H624" s="1" t="s">
        <v>1558</v>
      </c>
      <c r="I624" s="1" t="s">
        <v>676</v>
      </c>
      <c r="J624" s="1" t="s">
        <v>16</v>
      </c>
      <c r="K624" s="1" t="s">
        <v>1547</v>
      </c>
      <c r="L624" s="1" t="s">
        <v>1500</v>
      </c>
      <c r="M624">
        <f t="shared" si="63"/>
        <v>512</v>
      </c>
      <c r="N624" t="str">
        <f t="shared" si="64"/>
        <v>1950-08-06</v>
      </c>
      <c r="O624">
        <f t="shared" si="65"/>
        <v>61</v>
      </c>
      <c r="P624" t="str">
        <f t="shared" si="66"/>
        <v>mężczyzna</v>
      </c>
      <c r="Q624">
        <f t="shared" si="67"/>
        <v>25</v>
      </c>
      <c r="R624">
        <f t="shared" si="68"/>
        <v>48</v>
      </c>
      <c r="S624">
        <f t="shared" ca="1" si="69"/>
        <v>15</v>
      </c>
    </row>
    <row r="625" spans="1:19">
      <c r="A625" s="1" t="s">
        <v>19</v>
      </c>
      <c r="B625" s="2">
        <v>200</v>
      </c>
      <c r="C625" s="1">
        <v>200</v>
      </c>
      <c r="D625" s="1" t="s">
        <v>889</v>
      </c>
      <c r="E625" s="1">
        <v>13</v>
      </c>
      <c r="F625" s="3">
        <v>1635</v>
      </c>
      <c r="G625" s="1">
        <v>6</v>
      </c>
      <c r="H625" s="1" t="s">
        <v>1559</v>
      </c>
      <c r="I625" s="1" t="s">
        <v>891</v>
      </c>
      <c r="J625" s="1" t="s">
        <v>16</v>
      </c>
      <c r="K625" s="1" t="s">
        <v>1547</v>
      </c>
      <c r="L625" s="1" t="s">
        <v>1236</v>
      </c>
      <c r="M625">
        <f t="shared" si="63"/>
        <v>200</v>
      </c>
      <c r="N625" t="str">
        <f t="shared" si="64"/>
        <v>1951-06-12</v>
      </c>
      <c r="O625">
        <f t="shared" si="65"/>
        <v>60</v>
      </c>
      <c r="P625" t="str">
        <f t="shared" si="66"/>
        <v>kobieta</v>
      </c>
      <c r="Q625">
        <f t="shared" si="67"/>
        <v>122</v>
      </c>
      <c r="R625">
        <f t="shared" si="68"/>
        <v>48</v>
      </c>
      <c r="S625">
        <f t="shared" ca="1" si="69"/>
        <v>0</v>
      </c>
    </row>
    <row r="626" spans="1:19">
      <c r="A626" s="1" t="s">
        <v>19</v>
      </c>
      <c r="B626" s="2">
        <v>800</v>
      </c>
      <c r="C626" s="1">
        <v>800</v>
      </c>
      <c r="D626" s="1" t="s">
        <v>823</v>
      </c>
      <c r="E626" s="1">
        <v>13</v>
      </c>
      <c r="F626" s="3">
        <v>3440</v>
      </c>
      <c r="G626" s="1">
        <v>6</v>
      </c>
      <c r="H626" s="1" t="s">
        <v>1560</v>
      </c>
      <c r="I626" s="1" t="s">
        <v>825</v>
      </c>
      <c r="J626" s="1" t="s">
        <v>16</v>
      </c>
      <c r="K626" s="1" t="s">
        <v>1547</v>
      </c>
      <c r="L626" s="1" t="s">
        <v>1236</v>
      </c>
      <c r="M626">
        <f t="shared" si="63"/>
        <v>800</v>
      </c>
      <c r="N626" t="str">
        <f t="shared" si="64"/>
        <v>1956-04-20</v>
      </c>
      <c r="O626">
        <f t="shared" si="65"/>
        <v>55</v>
      </c>
      <c r="P626" t="str">
        <f t="shared" si="66"/>
        <v>kobieta</v>
      </c>
      <c r="Q626">
        <f t="shared" si="67"/>
        <v>53</v>
      </c>
      <c r="R626">
        <f t="shared" si="68"/>
        <v>48</v>
      </c>
      <c r="S626">
        <f t="shared" ca="1" si="69"/>
        <v>0</v>
      </c>
    </row>
    <row r="627" spans="1:19">
      <c r="A627" s="1" t="s">
        <v>19</v>
      </c>
      <c r="B627" s="2">
        <v>1000</v>
      </c>
      <c r="C627" s="1">
        <v>1000</v>
      </c>
      <c r="D627" s="1" t="s">
        <v>859</v>
      </c>
      <c r="E627" s="1">
        <v>98</v>
      </c>
      <c r="F627" s="3">
        <v>6000</v>
      </c>
      <c r="G627" s="1">
        <v>2</v>
      </c>
      <c r="H627" s="1" t="s">
        <v>1561</v>
      </c>
      <c r="I627" s="1" t="s">
        <v>435</v>
      </c>
      <c r="J627" s="1" t="s">
        <v>16</v>
      </c>
      <c r="K627" s="1" t="s">
        <v>1547</v>
      </c>
      <c r="L627" s="1" t="s">
        <v>1236</v>
      </c>
      <c r="M627">
        <f t="shared" si="63"/>
        <v>1000</v>
      </c>
      <c r="N627" t="str">
        <f t="shared" si="64"/>
        <v>1970-07-23</v>
      </c>
      <c r="O627">
        <f t="shared" si="65"/>
        <v>41</v>
      </c>
      <c r="P627" t="str">
        <f t="shared" si="66"/>
        <v>kobieta</v>
      </c>
      <c r="Q627">
        <f t="shared" si="67"/>
        <v>19</v>
      </c>
      <c r="R627">
        <f t="shared" si="68"/>
        <v>48</v>
      </c>
      <c r="S627">
        <f t="shared" ca="1" si="69"/>
        <v>0</v>
      </c>
    </row>
    <row r="628" spans="1:19">
      <c r="A628" s="1" t="s">
        <v>19</v>
      </c>
      <c r="B628" s="2">
        <v>774.28</v>
      </c>
      <c r="C628" s="1">
        <v>774.28</v>
      </c>
      <c r="D628" s="1" t="s">
        <v>566</v>
      </c>
      <c r="E628" s="1">
        <v>11</v>
      </c>
      <c r="F628" s="3">
        <v>2200</v>
      </c>
      <c r="G628" s="1">
        <v>2</v>
      </c>
      <c r="H628" s="1" t="s">
        <v>1562</v>
      </c>
      <c r="I628" s="1" t="s">
        <v>34</v>
      </c>
      <c r="J628" s="1" t="s">
        <v>16</v>
      </c>
      <c r="K628" s="1" t="s">
        <v>1547</v>
      </c>
      <c r="L628" s="1" t="s">
        <v>1212</v>
      </c>
      <c r="M628">
        <f t="shared" si="63"/>
        <v>774.28</v>
      </c>
      <c r="N628" t="str">
        <f t="shared" si="64"/>
        <v>1978-01-28</v>
      </c>
      <c r="O628">
        <f t="shared" si="65"/>
        <v>33</v>
      </c>
      <c r="P628" t="str">
        <f t="shared" si="66"/>
        <v>kobieta</v>
      </c>
      <c r="Q628">
        <f t="shared" si="67"/>
        <v>39</v>
      </c>
      <c r="R628">
        <f t="shared" si="68"/>
        <v>48</v>
      </c>
      <c r="S628">
        <f t="shared" ca="1" si="69"/>
        <v>0</v>
      </c>
    </row>
    <row r="629" spans="1:19">
      <c r="A629" s="1" t="s">
        <v>12</v>
      </c>
      <c r="B629" s="2">
        <v>300</v>
      </c>
      <c r="C629" s="1">
        <v>300</v>
      </c>
      <c r="D629" s="1" t="s">
        <v>920</v>
      </c>
      <c r="E629" s="1">
        <v>11</v>
      </c>
      <c r="F629" s="3">
        <v>2800</v>
      </c>
      <c r="G629" s="1">
        <v>6</v>
      </c>
      <c r="H629" s="1" t="s">
        <v>1563</v>
      </c>
      <c r="I629" s="1" t="s">
        <v>922</v>
      </c>
      <c r="J629" s="1" t="s">
        <v>16</v>
      </c>
      <c r="K629" s="1" t="s">
        <v>1547</v>
      </c>
      <c r="L629" s="1" t="s">
        <v>1236</v>
      </c>
      <c r="M629">
        <f t="shared" si="63"/>
        <v>300</v>
      </c>
      <c r="N629" t="str">
        <f t="shared" si="64"/>
        <v>1957-10-22</v>
      </c>
      <c r="O629">
        <f t="shared" si="65"/>
        <v>54</v>
      </c>
      <c r="P629" t="str">
        <f t="shared" si="66"/>
        <v>kobieta</v>
      </c>
      <c r="Q629">
        <f t="shared" si="67"/>
        <v>62</v>
      </c>
      <c r="R629">
        <f t="shared" si="68"/>
        <v>48</v>
      </c>
      <c r="S629">
        <f t="shared" ca="1" si="69"/>
        <v>0</v>
      </c>
    </row>
    <row r="630" spans="1:19">
      <c r="A630" s="1" t="s">
        <v>19</v>
      </c>
      <c r="B630" s="2">
        <v>974.28</v>
      </c>
      <c r="C630" s="1">
        <v>974.28</v>
      </c>
      <c r="D630" s="1" t="s">
        <v>212</v>
      </c>
      <c r="E630" s="1">
        <v>13</v>
      </c>
      <c r="F630" s="3">
        <v>2100</v>
      </c>
      <c r="G630" s="1">
        <v>5</v>
      </c>
      <c r="H630" s="1" t="s">
        <v>1564</v>
      </c>
      <c r="I630" s="1" t="s">
        <v>214</v>
      </c>
      <c r="J630" s="1" t="s">
        <v>16</v>
      </c>
      <c r="K630" s="1" t="s">
        <v>1565</v>
      </c>
      <c r="L630" s="1" t="s">
        <v>1267</v>
      </c>
      <c r="M630">
        <f t="shared" si="63"/>
        <v>974.28</v>
      </c>
      <c r="N630" t="str">
        <f t="shared" si="64"/>
        <v>1938-03-02</v>
      </c>
      <c r="O630">
        <f t="shared" si="65"/>
        <v>73</v>
      </c>
      <c r="P630" t="str">
        <f t="shared" si="66"/>
        <v>kobieta</v>
      </c>
      <c r="Q630">
        <f t="shared" si="67"/>
        <v>57</v>
      </c>
      <c r="R630">
        <f t="shared" si="68"/>
        <v>48</v>
      </c>
      <c r="S630">
        <f t="shared" ca="1" si="69"/>
        <v>4</v>
      </c>
    </row>
    <row r="631" spans="1:19">
      <c r="A631" s="1" t="s">
        <v>19</v>
      </c>
      <c r="B631" s="2">
        <v>400</v>
      </c>
      <c r="C631" s="1">
        <v>400</v>
      </c>
      <c r="D631" s="1" t="s">
        <v>898</v>
      </c>
      <c r="E631" s="1">
        <v>16</v>
      </c>
      <c r="F631" s="3">
        <v>1411</v>
      </c>
      <c r="G631" s="1">
        <v>3</v>
      </c>
      <c r="H631" s="1" t="s">
        <v>1566</v>
      </c>
      <c r="I631" s="1" t="s">
        <v>807</v>
      </c>
      <c r="J631" s="1" t="s">
        <v>16</v>
      </c>
      <c r="K631" s="1" t="s">
        <v>1565</v>
      </c>
      <c r="L631" s="1" t="s">
        <v>1267</v>
      </c>
      <c r="M631">
        <f t="shared" si="63"/>
        <v>400</v>
      </c>
      <c r="N631" t="str">
        <f t="shared" si="64"/>
        <v>1951-07-12</v>
      </c>
      <c r="O631">
        <f t="shared" si="65"/>
        <v>60</v>
      </c>
      <c r="P631" t="str">
        <f t="shared" si="66"/>
        <v>kobieta</v>
      </c>
      <c r="Q631">
        <f t="shared" si="67"/>
        <v>68</v>
      </c>
      <c r="R631">
        <f t="shared" si="68"/>
        <v>48</v>
      </c>
      <c r="S631">
        <f t="shared" ca="1" si="69"/>
        <v>4</v>
      </c>
    </row>
    <row r="632" spans="1:19">
      <c r="A632" s="1" t="s">
        <v>12</v>
      </c>
      <c r="B632" s="2">
        <v>399.66</v>
      </c>
      <c r="C632" s="1">
        <v>399.66</v>
      </c>
      <c r="D632" s="1" t="s">
        <v>671</v>
      </c>
      <c r="E632" s="1">
        <v>11</v>
      </c>
      <c r="F632" s="3">
        <v>1239.05</v>
      </c>
      <c r="G632" s="1">
        <v>3</v>
      </c>
      <c r="H632" s="1" t="s">
        <v>1567</v>
      </c>
      <c r="I632" s="1" t="s">
        <v>673</v>
      </c>
      <c r="J632" s="1" t="s">
        <v>16</v>
      </c>
      <c r="K632" s="1" t="s">
        <v>1565</v>
      </c>
      <c r="L632" s="1" t="s">
        <v>1568</v>
      </c>
      <c r="M632">
        <f t="shared" si="63"/>
        <v>399.66</v>
      </c>
      <c r="N632" t="str">
        <f t="shared" si="64"/>
        <v>1972-07-09</v>
      </c>
      <c r="O632">
        <f t="shared" si="65"/>
        <v>39</v>
      </c>
      <c r="P632" t="str">
        <f t="shared" si="66"/>
        <v>kobieta</v>
      </c>
      <c r="Q632">
        <f t="shared" si="67"/>
        <v>206</v>
      </c>
      <c r="R632">
        <f t="shared" si="68"/>
        <v>48</v>
      </c>
      <c r="S632">
        <f t="shared" ca="1" si="69"/>
        <v>13</v>
      </c>
    </row>
    <row r="633" spans="1:19">
      <c r="A633" s="1" t="s">
        <v>19</v>
      </c>
      <c r="B633" s="2">
        <v>996</v>
      </c>
      <c r="C633" s="1">
        <v>996</v>
      </c>
      <c r="D633" s="1" t="s">
        <v>903</v>
      </c>
      <c r="E633" s="1">
        <v>11</v>
      </c>
      <c r="F633" s="3">
        <v>2500</v>
      </c>
      <c r="G633" s="1">
        <v>2</v>
      </c>
      <c r="H633" s="1" t="s">
        <v>1569</v>
      </c>
      <c r="I633" s="1" t="s">
        <v>905</v>
      </c>
      <c r="J633" s="1" t="s">
        <v>16</v>
      </c>
      <c r="K633" s="1" t="s">
        <v>1565</v>
      </c>
      <c r="L633" s="1" t="s">
        <v>1347</v>
      </c>
      <c r="M633">
        <f t="shared" si="63"/>
        <v>996</v>
      </c>
      <c r="N633" t="str">
        <f t="shared" si="64"/>
        <v>1964-01-25</v>
      </c>
      <c r="O633">
        <f t="shared" si="65"/>
        <v>47</v>
      </c>
      <c r="P633" t="str">
        <f t="shared" si="66"/>
        <v>mężczyzna</v>
      </c>
      <c r="Q633">
        <f t="shared" si="67"/>
        <v>206</v>
      </c>
      <c r="R633">
        <f t="shared" si="68"/>
        <v>48</v>
      </c>
      <c r="S633">
        <f t="shared" ca="1" si="69"/>
        <v>5</v>
      </c>
    </row>
    <row r="634" spans="1:19">
      <c r="A634" s="1" t="s">
        <v>19</v>
      </c>
      <c r="B634" s="2">
        <v>438.12</v>
      </c>
      <c r="C634" s="1">
        <v>438.12</v>
      </c>
      <c r="D634" s="1" t="s">
        <v>851</v>
      </c>
      <c r="E634" s="1">
        <v>11</v>
      </c>
      <c r="F634" s="3">
        <v>1850</v>
      </c>
      <c r="G634" s="1">
        <v>1</v>
      </c>
      <c r="H634" s="1" t="s">
        <v>1570</v>
      </c>
      <c r="I634" s="1" t="s">
        <v>214</v>
      </c>
      <c r="J634" s="1" t="s">
        <v>16</v>
      </c>
      <c r="K634" s="1" t="s">
        <v>1565</v>
      </c>
      <c r="L634" s="1" t="s">
        <v>1518</v>
      </c>
      <c r="M634">
        <f t="shared" si="63"/>
        <v>438.12</v>
      </c>
      <c r="N634" t="str">
        <f t="shared" si="64"/>
        <v>1976-05-30</v>
      </c>
      <c r="O634">
        <f t="shared" si="65"/>
        <v>35</v>
      </c>
      <c r="P634" t="str">
        <f t="shared" si="66"/>
        <v>mężczyzna</v>
      </c>
      <c r="Q634">
        <f t="shared" si="67"/>
        <v>57</v>
      </c>
      <c r="R634">
        <f t="shared" si="68"/>
        <v>48</v>
      </c>
      <c r="S634">
        <f t="shared" ca="1" si="69"/>
        <v>7</v>
      </c>
    </row>
    <row r="635" spans="1:19">
      <c r="A635" s="1" t="s">
        <v>24</v>
      </c>
      <c r="B635" s="2">
        <v>500</v>
      </c>
      <c r="C635" s="1">
        <v>0</v>
      </c>
      <c r="D635" s="1" t="s">
        <v>1571</v>
      </c>
      <c r="E635" s="1">
        <v>99</v>
      </c>
      <c r="F635" s="3">
        <v>1225</v>
      </c>
      <c r="G635" s="1">
        <v>0</v>
      </c>
      <c r="H635" s="1" t="s">
        <v>1572</v>
      </c>
      <c r="I635" s="1" t="s">
        <v>1573</v>
      </c>
      <c r="J635" s="1" t="s">
        <v>839</v>
      </c>
      <c r="K635" s="1" t="s">
        <v>16</v>
      </c>
      <c r="L635" s="1" t="s">
        <v>28</v>
      </c>
      <c r="M635">
        <f t="shared" si="63"/>
        <v>500</v>
      </c>
      <c r="N635" t="str">
        <f t="shared" si="64"/>
        <v>1993-07-19</v>
      </c>
      <c r="O635">
        <f t="shared" si="65"/>
        <v>18</v>
      </c>
      <c r="P635" t="str">
        <f t="shared" si="66"/>
        <v>mężczyzna</v>
      </c>
      <c r="Q635">
        <f t="shared" si="67"/>
        <v>4</v>
      </c>
      <c r="R635">
        <f t="shared" si="68"/>
        <v>10</v>
      </c>
      <c r="S635">
        <f t="shared" ca="1" si="69"/>
        <v>0</v>
      </c>
    </row>
    <row r="636" spans="1:19">
      <c r="A636" s="1" t="s">
        <v>56</v>
      </c>
      <c r="B636" s="2">
        <v>300</v>
      </c>
      <c r="C636" s="1">
        <v>300</v>
      </c>
      <c r="D636" s="1" t="s">
        <v>552</v>
      </c>
      <c r="E636" s="1">
        <v>13</v>
      </c>
      <c r="F636" s="3">
        <v>1573</v>
      </c>
      <c r="G636" s="1">
        <v>1</v>
      </c>
      <c r="H636" s="1" t="s">
        <v>1574</v>
      </c>
      <c r="I636" s="1" t="s">
        <v>554</v>
      </c>
      <c r="J636" s="1" t="s">
        <v>16</v>
      </c>
      <c r="K636" s="1" t="s">
        <v>1565</v>
      </c>
      <c r="L636" s="1" t="s">
        <v>28</v>
      </c>
      <c r="M636">
        <f t="shared" si="63"/>
        <v>300</v>
      </c>
      <c r="N636" t="str">
        <f t="shared" si="64"/>
        <v>1944-05-19</v>
      </c>
      <c r="O636">
        <f t="shared" si="65"/>
        <v>67</v>
      </c>
      <c r="P636" t="str">
        <f t="shared" si="66"/>
        <v>mężczyzna</v>
      </c>
      <c r="Q636">
        <f t="shared" si="67"/>
        <v>91</v>
      </c>
      <c r="R636">
        <f t="shared" si="68"/>
        <v>48</v>
      </c>
      <c r="S636">
        <f t="shared" ca="1" si="69"/>
        <v>5220</v>
      </c>
    </row>
    <row r="637" spans="1:19">
      <c r="A637" s="1" t="s">
        <v>19</v>
      </c>
      <c r="B637" s="2">
        <v>300</v>
      </c>
      <c r="C637" s="1">
        <v>300</v>
      </c>
      <c r="D637" s="1" t="s">
        <v>853</v>
      </c>
      <c r="E637" s="1">
        <v>16</v>
      </c>
      <c r="F637" s="3">
        <v>2300</v>
      </c>
      <c r="G637" s="1">
        <v>0</v>
      </c>
      <c r="H637" s="1" t="s">
        <v>1575</v>
      </c>
      <c r="I637" s="1" t="s">
        <v>855</v>
      </c>
      <c r="J637" s="1" t="s">
        <v>16</v>
      </c>
      <c r="K637" s="1" t="s">
        <v>1565</v>
      </c>
      <c r="L637" s="1" t="s">
        <v>1212</v>
      </c>
      <c r="M637">
        <f t="shared" si="63"/>
        <v>300</v>
      </c>
      <c r="N637" t="str">
        <f t="shared" si="64"/>
        <v>1956-06-30</v>
      </c>
      <c r="O637">
        <f t="shared" si="65"/>
        <v>55</v>
      </c>
      <c r="P637" t="str">
        <f t="shared" si="66"/>
        <v>kobieta</v>
      </c>
      <c r="Q637">
        <f t="shared" si="67"/>
        <v>65</v>
      </c>
      <c r="R637">
        <f t="shared" si="68"/>
        <v>48</v>
      </c>
      <c r="S637">
        <f t="shared" ca="1" si="69"/>
        <v>0</v>
      </c>
    </row>
    <row r="638" spans="1:19">
      <c r="A638" s="1" t="s">
        <v>309</v>
      </c>
      <c r="B638" s="2">
        <v>1000</v>
      </c>
      <c r="C638" s="1">
        <v>1000</v>
      </c>
      <c r="D638" s="1" t="s">
        <v>1576</v>
      </c>
      <c r="E638" s="1">
        <v>11</v>
      </c>
      <c r="F638" s="3">
        <v>2670</v>
      </c>
      <c r="G638" s="1">
        <v>5</v>
      </c>
      <c r="H638" s="1" t="s">
        <v>1577</v>
      </c>
      <c r="I638" s="1" t="s">
        <v>1553</v>
      </c>
      <c r="J638" s="1" t="s">
        <v>16</v>
      </c>
      <c r="K638" s="1" t="s">
        <v>1565</v>
      </c>
      <c r="L638" s="1" t="s">
        <v>1578</v>
      </c>
      <c r="M638">
        <f t="shared" si="63"/>
        <v>1000</v>
      </c>
      <c r="N638" t="str">
        <f t="shared" si="64"/>
        <v>1951-08-21</v>
      </c>
      <c r="O638">
        <f t="shared" si="65"/>
        <v>60</v>
      </c>
      <c r="P638" t="str">
        <f t="shared" si="66"/>
        <v>kobieta</v>
      </c>
      <c r="Q638">
        <f t="shared" si="67"/>
        <v>90</v>
      </c>
      <c r="R638">
        <f t="shared" si="68"/>
        <v>48</v>
      </c>
      <c r="S638">
        <f t="shared" ca="1" si="69"/>
        <v>182</v>
      </c>
    </row>
    <row r="639" spans="1:19">
      <c r="A639" s="1" t="s">
        <v>19</v>
      </c>
      <c r="B639" s="2">
        <v>600</v>
      </c>
      <c r="C639" s="1">
        <v>600</v>
      </c>
      <c r="D639" s="1" t="s">
        <v>749</v>
      </c>
      <c r="E639" s="1">
        <v>11</v>
      </c>
      <c r="F639" s="3">
        <v>3200</v>
      </c>
      <c r="G639" s="1">
        <v>6</v>
      </c>
      <c r="H639" s="1" t="s">
        <v>1579</v>
      </c>
      <c r="I639" s="1" t="s">
        <v>751</v>
      </c>
      <c r="J639" s="1" t="s">
        <v>16</v>
      </c>
      <c r="K639" s="1" t="s">
        <v>1565</v>
      </c>
      <c r="L639" s="1" t="s">
        <v>1580</v>
      </c>
      <c r="M639">
        <f t="shared" si="63"/>
        <v>600</v>
      </c>
      <c r="N639" t="str">
        <f t="shared" si="64"/>
        <v>1960-12-10</v>
      </c>
      <c r="O639">
        <f t="shared" si="65"/>
        <v>51</v>
      </c>
      <c r="P639" t="str">
        <f t="shared" si="66"/>
        <v>kobieta</v>
      </c>
      <c r="Q639">
        <f t="shared" si="67"/>
        <v>56</v>
      </c>
      <c r="R639">
        <f t="shared" si="68"/>
        <v>48</v>
      </c>
      <c r="S639">
        <f t="shared" ca="1" si="69"/>
        <v>11</v>
      </c>
    </row>
    <row r="640" spans="1:19">
      <c r="A640" s="1" t="s">
        <v>19</v>
      </c>
      <c r="B640" s="2">
        <v>450</v>
      </c>
      <c r="C640" s="1">
        <v>450</v>
      </c>
      <c r="D640" s="1" t="s">
        <v>1581</v>
      </c>
      <c r="E640" s="1">
        <v>13</v>
      </c>
      <c r="F640" s="3">
        <v>1650</v>
      </c>
      <c r="G640" s="1">
        <v>0</v>
      </c>
      <c r="H640" s="1" t="s">
        <v>1582</v>
      </c>
      <c r="I640" s="1" t="s">
        <v>22</v>
      </c>
      <c r="J640" s="1" t="s">
        <v>16</v>
      </c>
      <c r="K640" s="1" t="s">
        <v>1583</v>
      </c>
      <c r="L640" s="1" t="s">
        <v>1323</v>
      </c>
      <c r="M640">
        <f t="shared" si="63"/>
        <v>450</v>
      </c>
      <c r="N640" t="str">
        <f t="shared" si="64"/>
        <v>1952-04-30</v>
      </c>
      <c r="O640">
        <f t="shared" si="65"/>
        <v>59</v>
      </c>
      <c r="P640" t="str">
        <f t="shared" si="66"/>
        <v>kobieta</v>
      </c>
      <c r="Q640">
        <f t="shared" si="67"/>
        <v>117</v>
      </c>
      <c r="R640">
        <f t="shared" si="68"/>
        <v>48</v>
      </c>
      <c r="S640">
        <f t="shared" ca="1" si="69"/>
        <v>0</v>
      </c>
    </row>
    <row r="641" spans="1:19">
      <c r="A641" s="1" t="s">
        <v>12</v>
      </c>
      <c r="B641" s="2">
        <v>282.57</v>
      </c>
      <c r="C641" s="1">
        <v>282.57</v>
      </c>
      <c r="D641" s="1" t="s">
        <v>871</v>
      </c>
      <c r="E641" s="1">
        <v>13</v>
      </c>
      <c r="F641" s="3">
        <v>1772.53</v>
      </c>
      <c r="G641" s="1">
        <v>3</v>
      </c>
      <c r="H641" s="1" t="s">
        <v>1584</v>
      </c>
      <c r="I641" s="1" t="s">
        <v>873</v>
      </c>
      <c r="J641" s="1" t="s">
        <v>16</v>
      </c>
      <c r="K641" s="1" t="s">
        <v>1583</v>
      </c>
      <c r="L641" s="1" t="s">
        <v>1500</v>
      </c>
      <c r="M641">
        <f t="shared" si="63"/>
        <v>282.57</v>
      </c>
      <c r="N641" t="str">
        <f t="shared" si="64"/>
        <v>1940-06-22</v>
      </c>
      <c r="O641">
        <f t="shared" si="65"/>
        <v>71</v>
      </c>
      <c r="P641" t="str">
        <f t="shared" si="66"/>
        <v>mężczyzna</v>
      </c>
      <c r="Q641">
        <f t="shared" si="67"/>
        <v>282</v>
      </c>
      <c r="R641">
        <f t="shared" si="68"/>
        <v>48</v>
      </c>
      <c r="S641">
        <f t="shared" ca="1" si="69"/>
        <v>12</v>
      </c>
    </row>
    <row r="642" spans="1:19">
      <c r="A642" s="1" t="s">
        <v>19</v>
      </c>
      <c r="B642" s="2">
        <v>300</v>
      </c>
      <c r="C642" s="1">
        <v>300</v>
      </c>
      <c r="D642" s="1" t="s">
        <v>929</v>
      </c>
      <c r="E642" s="1">
        <v>13</v>
      </c>
      <c r="F642" s="3">
        <v>1000</v>
      </c>
      <c r="G642" s="1">
        <v>3</v>
      </c>
      <c r="H642" s="1" t="s">
        <v>1585</v>
      </c>
      <c r="I642" s="1" t="s">
        <v>266</v>
      </c>
      <c r="J642" s="1" t="s">
        <v>16</v>
      </c>
      <c r="K642" s="1" t="s">
        <v>1583</v>
      </c>
      <c r="L642" s="1" t="s">
        <v>1267</v>
      </c>
      <c r="M642">
        <f t="shared" si="63"/>
        <v>300</v>
      </c>
      <c r="N642" t="str">
        <f t="shared" si="64"/>
        <v>1941-01-26</v>
      </c>
      <c r="O642">
        <f t="shared" si="65"/>
        <v>70</v>
      </c>
      <c r="P642" t="str">
        <f t="shared" si="66"/>
        <v>kobieta</v>
      </c>
      <c r="Q642">
        <f t="shared" si="67"/>
        <v>66</v>
      </c>
      <c r="R642">
        <f t="shared" si="68"/>
        <v>48</v>
      </c>
      <c r="S642">
        <f t="shared" ca="1" si="69"/>
        <v>2</v>
      </c>
    </row>
    <row r="643" spans="1:19">
      <c r="A643" s="1" t="s">
        <v>19</v>
      </c>
      <c r="B643" s="2">
        <v>200</v>
      </c>
      <c r="C643" s="1">
        <v>200</v>
      </c>
      <c r="D643" s="1" t="s">
        <v>932</v>
      </c>
      <c r="E643" s="1">
        <v>11</v>
      </c>
      <c r="F643" s="3">
        <v>2284.23</v>
      </c>
      <c r="G643" s="1">
        <v>1</v>
      </c>
      <c r="H643" s="1" t="s">
        <v>1586</v>
      </c>
      <c r="I643" s="1" t="s">
        <v>934</v>
      </c>
      <c r="J643" s="1" t="s">
        <v>16</v>
      </c>
      <c r="K643" s="1" t="s">
        <v>1583</v>
      </c>
      <c r="L643" s="1" t="s">
        <v>1347</v>
      </c>
      <c r="M643">
        <f t="shared" ref="M643:M706" si="70">IF(A643="odmowa", B643,C643)</f>
        <v>200</v>
      </c>
      <c r="N643" t="str">
        <f t="shared" ref="N643:N706" si="71">CONCATENATE("19", MID(D643, 1, 2), "-", MID(D643, 3, 2), "-", MID(D643, 5, 2))</f>
        <v>1968-10-04</v>
      </c>
      <c r="O643">
        <f t="shared" ref="O643:O706" si="72">YEAR(H643) - YEAR(N643)</f>
        <v>43</v>
      </c>
      <c r="P643" t="str">
        <f t="shared" ref="P643:P706" si="73">IF(MOD(MID(D643, 10, 1), 2)=0, "kobieta", "mężczyzna")</f>
        <v>mężczyzna</v>
      </c>
      <c r="Q643">
        <f t="shared" ref="Q643:Q706" si="74">(YEAR(H643) - YEAR(I643)) * 12 + MONTH(H643) - MONTH(I643)</f>
        <v>302</v>
      </c>
      <c r="R643">
        <f t="shared" ref="R643:R706" si="75">IF(LEFT(J643, 4)="0000", 48, MIN(48, (YEAR(J643) - YEAR(H643)) * 12 + MONTH(J643) - MONTH(H643)))</f>
        <v>48</v>
      </c>
      <c r="S643">
        <f t="shared" ref="S643:S706" ca="1" si="76">IF(LEFT(K643, 4)="0000", 0, IF(LEFT(L643, 4)="0000", MAX(0, TODAY() - K643), MAX(0, L643 - K643)))</f>
        <v>3</v>
      </c>
    </row>
    <row r="644" spans="1:19">
      <c r="A644" s="1" t="s">
        <v>19</v>
      </c>
      <c r="B644" s="2">
        <v>1000</v>
      </c>
      <c r="C644" s="1">
        <v>1000</v>
      </c>
      <c r="D644" s="1" t="s">
        <v>97</v>
      </c>
      <c r="E644" s="1">
        <v>13</v>
      </c>
      <c r="F644" s="3">
        <v>1530</v>
      </c>
      <c r="G644" s="1">
        <v>0</v>
      </c>
      <c r="H644" s="1" t="s">
        <v>1587</v>
      </c>
      <c r="I644" s="1" t="s">
        <v>99</v>
      </c>
      <c r="J644" s="1" t="s">
        <v>16</v>
      </c>
      <c r="K644" s="1" t="s">
        <v>1583</v>
      </c>
      <c r="L644" s="1" t="s">
        <v>1267</v>
      </c>
      <c r="M644">
        <f t="shared" si="70"/>
        <v>1000</v>
      </c>
      <c r="N644" t="str">
        <f t="shared" si="71"/>
        <v>1954-01-12</v>
      </c>
      <c r="O644">
        <f t="shared" si="72"/>
        <v>57</v>
      </c>
      <c r="P644" t="str">
        <f t="shared" si="73"/>
        <v>kobieta</v>
      </c>
      <c r="Q644">
        <f t="shared" si="74"/>
        <v>27</v>
      </c>
      <c r="R644">
        <f t="shared" si="75"/>
        <v>48</v>
      </c>
      <c r="S644">
        <f t="shared" ca="1" si="76"/>
        <v>2</v>
      </c>
    </row>
    <row r="645" spans="1:19">
      <c r="A645" s="1" t="s">
        <v>19</v>
      </c>
      <c r="B645" s="2">
        <v>975.25</v>
      </c>
      <c r="C645" s="1">
        <v>975.25</v>
      </c>
      <c r="D645" s="1" t="s">
        <v>923</v>
      </c>
      <c r="E645" s="1">
        <v>13</v>
      </c>
      <c r="F645" s="3">
        <v>2474</v>
      </c>
      <c r="G645" s="1">
        <v>1</v>
      </c>
      <c r="H645" s="1" t="s">
        <v>1588</v>
      </c>
      <c r="I645" s="1" t="s">
        <v>925</v>
      </c>
      <c r="J645" s="1" t="s">
        <v>16</v>
      </c>
      <c r="K645" s="1" t="s">
        <v>1583</v>
      </c>
      <c r="L645" s="1" t="s">
        <v>1267</v>
      </c>
      <c r="M645">
        <f t="shared" si="70"/>
        <v>975.25</v>
      </c>
      <c r="N645" t="str">
        <f t="shared" si="71"/>
        <v>1949-02-26</v>
      </c>
      <c r="O645">
        <f t="shared" si="72"/>
        <v>62</v>
      </c>
      <c r="P645" t="str">
        <f t="shared" si="73"/>
        <v>mężczyzna</v>
      </c>
      <c r="Q645">
        <f t="shared" si="74"/>
        <v>17</v>
      </c>
      <c r="R645">
        <f t="shared" si="75"/>
        <v>48</v>
      </c>
      <c r="S645">
        <f t="shared" ca="1" si="76"/>
        <v>2</v>
      </c>
    </row>
    <row r="646" spans="1:19">
      <c r="A646" s="1" t="s">
        <v>19</v>
      </c>
      <c r="B646" s="2">
        <v>299.72000000000003</v>
      </c>
      <c r="C646" s="1">
        <v>299.72000000000003</v>
      </c>
      <c r="D646" s="1" t="s">
        <v>420</v>
      </c>
      <c r="E646" s="1">
        <v>13</v>
      </c>
      <c r="F646" s="3">
        <v>714</v>
      </c>
      <c r="G646" s="1">
        <v>7</v>
      </c>
      <c r="H646" s="1" t="s">
        <v>1589</v>
      </c>
      <c r="I646" s="1" t="s">
        <v>422</v>
      </c>
      <c r="J646" s="1" t="s">
        <v>16</v>
      </c>
      <c r="K646" s="1" t="s">
        <v>1583</v>
      </c>
      <c r="L646" s="1" t="s">
        <v>1323</v>
      </c>
      <c r="M646">
        <f t="shared" si="70"/>
        <v>299.72000000000003</v>
      </c>
      <c r="N646" t="str">
        <f t="shared" si="71"/>
        <v>1949-07-16</v>
      </c>
      <c r="O646">
        <f t="shared" si="72"/>
        <v>62</v>
      </c>
      <c r="P646" t="str">
        <f t="shared" si="73"/>
        <v>kobieta</v>
      </c>
      <c r="Q646">
        <f t="shared" si="74"/>
        <v>224</v>
      </c>
      <c r="R646">
        <f t="shared" si="75"/>
        <v>48</v>
      </c>
      <c r="S646">
        <f t="shared" ca="1" si="76"/>
        <v>0</v>
      </c>
    </row>
    <row r="647" spans="1:19">
      <c r="A647" s="1" t="s">
        <v>19</v>
      </c>
      <c r="B647" s="2">
        <v>400</v>
      </c>
      <c r="C647" s="1">
        <v>400</v>
      </c>
      <c r="D647" s="1" t="s">
        <v>972</v>
      </c>
      <c r="E647" s="1">
        <v>11</v>
      </c>
      <c r="F647" s="3">
        <v>1500</v>
      </c>
      <c r="G647" s="1">
        <v>5</v>
      </c>
      <c r="H647" s="1" t="s">
        <v>1590</v>
      </c>
      <c r="I647" s="1" t="s">
        <v>333</v>
      </c>
      <c r="J647" s="1" t="s">
        <v>16</v>
      </c>
      <c r="K647" s="1" t="s">
        <v>1583</v>
      </c>
      <c r="L647" s="1" t="s">
        <v>1267</v>
      </c>
      <c r="M647">
        <f t="shared" si="70"/>
        <v>400</v>
      </c>
      <c r="N647" t="str">
        <f t="shared" si="71"/>
        <v>1953-04-19</v>
      </c>
      <c r="O647">
        <f t="shared" si="72"/>
        <v>58</v>
      </c>
      <c r="P647" t="str">
        <f t="shared" si="73"/>
        <v>kobieta</v>
      </c>
      <c r="Q647">
        <f t="shared" si="74"/>
        <v>87</v>
      </c>
      <c r="R647">
        <f t="shared" si="75"/>
        <v>48</v>
      </c>
      <c r="S647">
        <f t="shared" ca="1" si="76"/>
        <v>2</v>
      </c>
    </row>
    <row r="648" spans="1:19">
      <c r="A648" s="1" t="s">
        <v>19</v>
      </c>
      <c r="B648" s="2">
        <v>200</v>
      </c>
      <c r="C648" s="1">
        <v>200</v>
      </c>
      <c r="D648" s="1" t="s">
        <v>865</v>
      </c>
      <c r="E648" s="1">
        <v>11</v>
      </c>
      <c r="F648" s="3">
        <v>1344.9</v>
      </c>
      <c r="G648" s="1">
        <v>5</v>
      </c>
      <c r="H648" s="1" t="s">
        <v>1591</v>
      </c>
      <c r="I648" s="1" t="s">
        <v>867</v>
      </c>
      <c r="J648" s="1" t="s">
        <v>16</v>
      </c>
      <c r="K648" s="1" t="s">
        <v>1583</v>
      </c>
      <c r="L648" s="1" t="s">
        <v>1592</v>
      </c>
      <c r="M648">
        <f t="shared" si="70"/>
        <v>200</v>
      </c>
      <c r="N648" t="str">
        <f t="shared" si="71"/>
        <v>1966-11-24</v>
      </c>
      <c r="O648">
        <f t="shared" si="72"/>
        <v>45</v>
      </c>
      <c r="P648" t="str">
        <f t="shared" si="73"/>
        <v>kobieta</v>
      </c>
      <c r="Q648">
        <f t="shared" si="74"/>
        <v>48</v>
      </c>
      <c r="R648">
        <f t="shared" si="75"/>
        <v>48</v>
      </c>
      <c r="S648">
        <f t="shared" ca="1" si="76"/>
        <v>7</v>
      </c>
    </row>
    <row r="649" spans="1:19">
      <c r="A649" s="1" t="s">
        <v>12</v>
      </c>
      <c r="B649" s="2">
        <v>500</v>
      </c>
      <c r="C649" s="1">
        <v>500</v>
      </c>
      <c r="D649" s="1" t="s">
        <v>958</v>
      </c>
      <c r="E649" s="1">
        <v>11</v>
      </c>
      <c r="F649" s="3">
        <v>2500</v>
      </c>
      <c r="G649" s="1">
        <v>2</v>
      </c>
      <c r="H649" s="1" t="s">
        <v>1593</v>
      </c>
      <c r="I649" s="1" t="s">
        <v>960</v>
      </c>
      <c r="J649" s="1" t="s">
        <v>16</v>
      </c>
      <c r="K649" s="1" t="s">
        <v>1583</v>
      </c>
      <c r="L649" s="1" t="s">
        <v>1267</v>
      </c>
      <c r="M649">
        <f t="shared" si="70"/>
        <v>500</v>
      </c>
      <c r="N649" t="str">
        <f t="shared" si="71"/>
        <v>1962-02-23</v>
      </c>
      <c r="O649">
        <f t="shared" si="72"/>
        <v>49</v>
      </c>
      <c r="P649" t="str">
        <f t="shared" si="73"/>
        <v>kobieta</v>
      </c>
      <c r="Q649">
        <f t="shared" si="74"/>
        <v>235</v>
      </c>
      <c r="R649">
        <f t="shared" si="75"/>
        <v>48</v>
      </c>
      <c r="S649">
        <f t="shared" ca="1" si="76"/>
        <v>2</v>
      </c>
    </row>
    <row r="650" spans="1:19">
      <c r="A650" s="1" t="s">
        <v>19</v>
      </c>
      <c r="B650" s="2">
        <v>200</v>
      </c>
      <c r="C650" s="1">
        <v>200</v>
      </c>
      <c r="D650" s="1" t="s">
        <v>635</v>
      </c>
      <c r="E650" s="1">
        <v>12</v>
      </c>
      <c r="F650" s="3">
        <v>1865</v>
      </c>
      <c r="G650" s="1">
        <v>3</v>
      </c>
      <c r="H650" s="1" t="s">
        <v>1594</v>
      </c>
      <c r="I650" s="1" t="s">
        <v>637</v>
      </c>
      <c r="J650" s="1" t="s">
        <v>396</v>
      </c>
      <c r="K650" s="1" t="s">
        <v>1583</v>
      </c>
      <c r="L650" s="1" t="s">
        <v>1267</v>
      </c>
      <c r="M650">
        <f t="shared" si="70"/>
        <v>200</v>
      </c>
      <c r="N650" t="str">
        <f t="shared" si="71"/>
        <v>1980-02-07</v>
      </c>
      <c r="O650">
        <f t="shared" si="72"/>
        <v>31</v>
      </c>
      <c r="P650" t="str">
        <f t="shared" si="73"/>
        <v>kobieta</v>
      </c>
      <c r="Q650">
        <f t="shared" si="74"/>
        <v>22</v>
      </c>
      <c r="R650">
        <f t="shared" si="75"/>
        <v>0</v>
      </c>
      <c r="S650">
        <f t="shared" ca="1" si="76"/>
        <v>2</v>
      </c>
    </row>
    <row r="651" spans="1:19">
      <c r="A651" s="1" t="s">
        <v>19</v>
      </c>
      <c r="B651" s="2">
        <v>300</v>
      </c>
      <c r="C651" s="1">
        <v>300</v>
      </c>
      <c r="D651" s="1" t="s">
        <v>817</v>
      </c>
      <c r="E651" s="1">
        <v>13</v>
      </c>
      <c r="F651" s="3">
        <v>562</v>
      </c>
      <c r="G651" s="1">
        <v>2</v>
      </c>
      <c r="H651" s="1" t="s">
        <v>1595</v>
      </c>
      <c r="I651" s="1" t="s">
        <v>474</v>
      </c>
      <c r="J651" s="1" t="s">
        <v>16</v>
      </c>
      <c r="K651" s="1" t="s">
        <v>1583</v>
      </c>
      <c r="L651" s="1" t="s">
        <v>1347</v>
      </c>
      <c r="M651">
        <f t="shared" si="70"/>
        <v>300</v>
      </c>
      <c r="N651" t="str">
        <f t="shared" si="71"/>
        <v>1940-08-21</v>
      </c>
      <c r="O651">
        <f t="shared" si="72"/>
        <v>71</v>
      </c>
      <c r="P651" t="str">
        <f t="shared" si="73"/>
        <v>mężczyzna</v>
      </c>
      <c r="Q651">
        <f t="shared" si="74"/>
        <v>83</v>
      </c>
      <c r="R651">
        <f t="shared" si="75"/>
        <v>48</v>
      </c>
      <c r="S651">
        <f t="shared" ca="1" si="76"/>
        <v>3</v>
      </c>
    </row>
    <row r="652" spans="1:19">
      <c r="A652" s="1" t="s">
        <v>12</v>
      </c>
      <c r="B652" s="2">
        <v>324.56</v>
      </c>
      <c r="C652" s="1">
        <v>324.56</v>
      </c>
      <c r="D652" s="1" t="s">
        <v>29</v>
      </c>
      <c r="E652" s="1">
        <v>13</v>
      </c>
      <c r="F652" s="3">
        <v>1170</v>
      </c>
      <c r="G652" s="1">
        <v>5</v>
      </c>
      <c r="H652" s="1" t="s">
        <v>1596</v>
      </c>
      <c r="I652" s="1" t="s">
        <v>31</v>
      </c>
      <c r="J652" s="1" t="s">
        <v>16</v>
      </c>
      <c r="K652" s="1" t="s">
        <v>1583</v>
      </c>
      <c r="L652" s="1" t="s">
        <v>1236</v>
      </c>
      <c r="M652">
        <f t="shared" si="70"/>
        <v>324.56</v>
      </c>
      <c r="N652" t="str">
        <f t="shared" si="71"/>
        <v>1950-11-21</v>
      </c>
      <c r="O652">
        <f t="shared" si="72"/>
        <v>61</v>
      </c>
      <c r="P652" t="str">
        <f t="shared" si="73"/>
        <v>kobieta</v>
      </c>
      <c r="Q652">
        <f t="shared" si="74"/>
        <v>80</v>
      </c>
      <c r="R652">
        <f t="shared" si="75"/>
        <v>48</v>
      </c>
      <c r="S652">
        <f t="shared" ca="1" si="76"/>
        <v>0</v>
      </c>
    </row>
    <row r="653" spans="1:19">
      <c r="A653" s="1" t="s">
        <v>12</v>
      </c>
      <c r="B653" s="2">
        <v>350</v>
      </c>
      <c r="C653" s="1">
        <v>350</v>
      </c>
      <c r="D653" s="1" t="s">
        <v>969</v>
      </c>
      <c r="E653" s="1">
        <v>16</v>
      </c>
      <c r="F653" s="3">
        <v>837</v>
      </c>
      <c r="G653" s="1">
        <v>5</v>
      </c>
      <c r="H653" s="1" t="s">
        <v>1597</v>
      </c>
      <c r="I653" s="1" t="s">
        <v>971</v>
      </c>
      <c r="J653" s="1" t="s">
        <v>16</v>
      </c>
      <c r="K653" s="1" t="s">
        <v>1583</v>
      </c>
      <c r="L653" s="1" t="s">
        <v>1457</v>
      </c>
      <c r="M653">
        <f t="shared" si="70"/>
        <v>350</v>
      </c>
      <c r="N653" t="str">
        <f t="shared" si="71"/>
        <v>1950-11-07</v>
      </c>
      <c r="O653">
        <f t="shared" si="72"/>
        <v>61</v>
      </c>
      <c r="P653" t="str">
        <f t="shared" si="73"/>
        <v>mężczyzna</v>
      </c>
      <c r="Q653">
        <f t="shared" si="74"/>
        <v>233</v>
      </c>
      <c r="R653">
        <f t="shared" si="75"/>
        <v>48</v>
      </c>
      <c r="S653">
        <f t="shared" ca="1" si="76"/>
        <v>4</v>
      </c>
    </row>
    <row r="654" spans="1:19">
      <c r="A654" s="1" t="s">
        <v>19</v>
      </c>
      <c r="B654" s="2">
        <v>460</v>
      </c>
      <c r="C654" s="1">
        <v>460</v>
      </c>
      <c r="D654" s="1" t="s">
        <v>949</v>
      </c>
      <c r="E654" s="1">
        <v>13</v>
      </c>
      <c r="F654" s="3">
        <v>1013.74</v>
      </c>
      <c r="G654" s="1">
        <v>6</v>
      </c>
      <c r="H654" s="1" t="s">
        <v>1598</v>
      </c>
      <c r="I654" s="1" t="s">
        <v>951</v>
      </c>
      <c r="J654" s="1" t="s">
        <v>16</v>
      </c>
      <c r="K654" s="1" t="s">
        <v>1583</v>
      </c>
      <c r="L654" s="1" t="s">
        <v>1267</v>
      </c>
      <c r="M654">
        <f t="shared" si="70"/>
        <v>460</v>
      </c>
      <c r="N654" t="str">
        <f t="shared" si="71"/>
        <v>1946-09-02</v>
      </c>
      <c r="O654">
        <f t="shared" si="72"/>
        <v>65</v>
      </c>
      <c r="P654" t="str">
        <f t="shared" si="73"/>
        <v>kobieta</v>
      </c>
      <c r="Q654">
        <f t="shared" si="74"/>
        <v>115</v>
      </c>
      <c r="R654">
        <f t="shared" si="75"/>
        <v>48</v>
      </c>
      <c r="S654">
        <f t="shared" ca="1" si="76"/>
        <v>2</v>
      </c>
    </row>
    <row r="655" spans="1:19">
      <c r="A655" s="1" t="s">
        <v>24</v>
      </c>
      <c r="B655" s="2">
        <v>800</v>
      </c>
      <c r="C655" s="1">
        <v>0</v>
      </c>
      <c r="D655" s="1" t="s">
        <v>1599</v>
      </c>
      <c r="E655" s="1">
        <v>13</v>
      </c>
      <c r="F655" s="3">
        <v>1208</v>
      </c>
      <c r="G655" s="1">
        <v>0</v>
      </c>
      <c r="H655" s="1" t="s">
        <v>1600</v>
      </c>
      <c r="I655" s="1" t="s">
        <v>1601</v>
      </c>
      <c r="J655" s="1" t="s">
        <v>16</v>
      </c>
      <c r="K655" s="1" t="s">
        <v>16</v>
      </c>
      <c r="L655" s="1" t="s">
        <v>28</v>
      </c>
      <c r="M655">
        <f t="shared" si="70"/>
        <v>800</v>
      </c>
      <c r="N655" t="str">
        <f t="shared" si="71"/>
        <v>1952-03-07</v>
      </c>
      <c r="O655">
        <f t="shared" si="72"/>
        <v>59</v>
      </c>
      <c r="P655" t="str">
        <f t="shared" si="73"/>
        <v>kobieta</v>
      </c>
      <c r="Q655">
        <f t="shared" si="74"/>
        <v>27</v>
      </c>
      <c r="R655">
        <f t="shared" si="75"/>
        <v>48</v>
      </c>
      <c r="S655">
        <f t="shared" ca="1" si="76"/>
        <v>0</v>
      </c>
    </row>
    <row r="656" spans="1:19">
      <c r="A656" s="1" t="s">
        <v>19</v>
      </c>
      <c r="B656" s="2">
        <v>500</v>
      </c>
      <c r="C656" s="1">
        <v>500</v>
      </c>
      <c r="D656" s="1" t="s">
        <v>1059</v>
      </c>
      <c r="E656" s="1">
        <v>13</v>
      </c>
      <c r="F656" s="3">
        <v>1212</v>
      </c>
      <c r="G656" s="1">
        <v>6</v>
      </c>
      <c r="H656" s="1" t="s">
        <v>1602</v>
      </c>
      <c r="I656" s="1" t="s">
        <v>1061</v>
      </c>
      <c r="J656" s="1" t="s">
        <v>16</v>
      </c>
      <c r="K656" s="1" t="s">
        <v>1583</v>
      </c>
      <c r="L656" s="1" t="s">
        <v>1267</v>
      </c>
      <c r="M656">
        <f t="shared" si="70"/>
        <v>500</v>
      </c>
      <c r="N656" t="str">
        <f t="shared" si="71"/>
        <v>1951-04-08</v>
      </c>
      <c r="O656">
        <f t="shared" si="72"/>
        <v>60</v>
      </c>
      <c r="P656" t="str">
        <f t="shared" si="73"/>
        <v>kobieta</v>
      </c>
      <c r="Q656">
        <f t="shared" si="74"/>
        <v>56</v>
      </c>
      <c r="R656">
        <f t="shared" si="75"/>
        <v>48</v>
      </c>
      <c r="S656">
        <f t="shared" ca="1" si="76"/>
        <v>2</v>
      </c>
    </row>
    <row r="657" spans="1:19">
      <c r="A657" s="1" t="s">
        <v>12</v>
      </c>
      <c r="B657" s="2">
        <v>200</v>
      </c>
      <c r="C657" s="1">
        <v>200</v>
      </c>
      <c r="D657" s="1" t="s">
        <v>149</v>
      </c>
      <c r="E657" s="1">
        <v>98</v>
      </c>
      <c r="F657" s="3">
        <v>2000</v>
      </c>
      <c r="G657" s="1">
        <v>0</v>
      </c>
      <c r="H657" s="1" t="s">
        <v>1603</v>
      </c>
      <c r="I657" s="1" t="s">
        <v>151</v>
      </c>
      <c r="J657" s="1" t="s">
        <v>16</v>
      </c>
      <c r="K657" s="1" t="s">
        <v>1583</v>
      </c>
      <c r="L657" s="1" t="s">
        <v>1323</v>
      </c>
      <c r="M657">
        <f t="shared" si="70"/>
        <v>200</v>
      </c>
      <c r="N657" t="str">
        <f t="shared" si="71"/>
        <v>1980-11-17</v>
      </c>
      <c r="O657">
        <f t="shared" si="72"/>
        <v>31</v>
      </c>
      <c r="P657" t="str">
        <f t="shared" si="73"/>
        <v>mężczyzna</v>
      </c>
      <c r="Q657">
        <f t="shared" si="74"/>
        <v>16</v>
      </c>
      <c r="R657">
        <f t="shared" si="75"/>
        <v>48</v>
      </c>
      <c r="S657">
        <f t="shared" ca="1" si="76"/>
        <v>0</v>
      </c>
    </row>
    <row r="658" spans="1:19">
      <c r="A658" s="1" t="s">
        <v>12</v>
      </c>
      <c r="B658" s="2">
        <v>200</v>
      </c>
      <c r="C658" s="1">
        <v>200</v>
      </c>
      <c r="D658" s="1" t="s">
        <v>1604</v>
      </c>
      <c r="E658" s="1">
        <v>16</v>
      </c>
      <c r="F658" s="3">
        <v>684.64</v>
      </c>
      <c r="G658" s="1">
        <v>0</v>
      </c>
      <c r="H658" s="1" t="s">
        <v>1605</v>
      </c>
      <c r="I658" s="1" t="s">
        <v>1606</v>
      </c>
      <c r="J658" s="1" t="s">
        <v>16</v>
      </c>
      <c r="K658" s="1" t="s">
        <v>1583</v>
      </c>
      <c r="L658" s="1" t="s">
        <v>1267</v>
      </c>
      <c r="M658">
        <f t="shared" si="70"/>
        <v>200</v>
      </c>
      <c r="N658" t="str">
        <f t="shared" si="71"/>
        <v>1951-11-27</v>
      </c>
      <c r="O658">
        <f t="shared" si="72"/>
        <v>60</v>
      </c>
      <c r="P658" t="str">
        <f t="shared" si="73"/>
        <v>kobieta</v>
      </c>
      <c r="Q658">
        <f t="shared" si="74"/>
        <v>343</v>
      </c>
      <c r="R658">
        <f t="shared" si="75"/>
        <v>48</v>
      </c>
      <c r="S658">
        <f t="shared" ca="1" si="76"/>
        <v>2</v>
      </c>
    </row>
    <row r="659" spans="1:19">
      <c r="A659" s="1" t="s">
        <v>12</v>
      </c>
      <c r="B659" s="2">
        <v>300</v>
      </c>
      <c r="C659" s="1">
        <v>300</v>
      </c>
      <c r="D659" s="1" t="s">
        <v>914</v>
      </c>
      <c r="E659" s="1">
        <v>11</v>
      </c>
      <c r="F659" s="3">
        <v>1738.57</v>
      </c>
      <c r="G659" s="1">
        <v>1</v>
      </c>
      <c r="H659" s="1" t="s">
        <v>1607</v>
      </c>
      <c r="I659" s="1" t="s">
        <v>916</v>
      </c>
      <c r="J659" s="1" t="s">
        <v>16</v>
      </c>
      <c r="K659" s="1" t="s">
        <v>1583</v>
      </c>
      <c r="L659" s="1" t="s">
        <v>1323</v>
      </c>
      <c r="M659">
        <f t="shared" si="70"/>
        <v>300</v>
      </c>
      <c r="N659" t="str">
        <f t="shared" si="71"/>
        <v>1968-01-25</v>
      </c>
      <c r="O659">
        <f t="shared" si="72"/>
        <v>43</v>
      </c>
      <c r="P659" t="str">
        <f t="shared" si="73"/>
        <v>kobieta</v>
      </c>
      <c r="Q659">
        <f t="shared" si="74"/>
        <v>59</v>
      </c>
      <c r="R659">
        <f t="shared" si="75"/>
        <v>48</v>
      </c>
      <c r="S659">
        <f t="shared" ca="1" si="76"/>
        <v>0</v>
      </c>
    </row>
    <row r="660" spans="1:19">
      <c r="A660" s="1" t="s">
        <v>56</v>
      </c>
      <c r="B660" s="2">
        <v>600</v>
      </c>
      <c r="C660" s="1">
        <v>600</v>
      </c>
      <c r="D660" s="1" t="s">
        <v>664</v>
      </c>
      <c r="E660" s="1">
        <v>13</v>
      </c>
      <c r="F660" s="3">
        <v>1519</v>
      </c>
      <c r="G660" s="1">
        <v>0</v>
      </c>
      <c r="H660" s="1" t="s">
        <v>1608</v>
      </c>
      <c r="I660" s="1" t="s">
        <v>666</v>
      </c>
      <c r="J660" s="1" t="s">
        <v>16</v>
      </c>
      <c r="K660" s="1" t="s">
        <v>1583</v>
      </c>
      <c r="L660" s="1" t="s">
        <v>28</v>
      </c>
      <c r="M660">
        <f t="shared" si="70"/>
        <v>600</v>
      </c>
      <c r="N660" t="str">
        <f t="shared" si="71"/>
        <v>1933-07-29</v>
      </c>
      <c r="O660">
        <f t="shared" si="72"/>
        <v>78</v>
      </c>
      <c r="P660" t="str">
        <f t="shared" si="73"/>
        <v>mężczyzna</v>
      </c>
      <c r="Q660">
        <f t="shared" si="74"/>
        <v>256</v>
      </c>
      <c r="R660">
        <f t="shared" si="75"/>
        <v>48</v>
      </c>
      <c r="S660">
        <f t="shared" ca="1" si="76"/>
        <v>5218</v>
      </c>
    </row>
    <row r="661" spans="1:19">
      <c r="A661" s="1" t="s">
        <v>309</v>
      </c>
      <c r="B661" s="2">
        <v>292.27999999999997</v>
      </c>
      <c r="C661" s="1">
        <v>292.27999999999997</v>
      </c>
      <c r="D661" s="1" t="s">
        <v>152</v>
      </c>
      <c r="E661" s="1">
        <v>13</v>
      </c>
      <c r="F661" s="3">
        <v>936</v>
      </c>
      <c r="G661" s="1">
        <v>4</v>
      </c>
      <c r="H661" s="1" t="s">
        <v>1609</v>
      </c>
      <c r="I661" s="1" t="s">
        <v>154</v>
      </c>
      <c r="J661" s="1" t="s">
        <v>16</v>
      </c>
      <c r="K661" s="1" t="s">
        <v>1583</v>
      </c>
      <c r="L661" s="1" t="s">
        <v>1610</v>
      </c>
      <c r="M661">
        <f t="shared" si="70"/>
        <v>292.27999999999997</v>
      </c>
      <c r="N661" t="str">
        <f t="shared" si="71"/>
        <v>1951-11-18</v>
      </c>
      <c r="O661">
        <f t="shared" si="72"/>
        <v>60</v>
      </c>
      <c r="P661" t="str">
        <f t="shared" si="73"/>
        <v>kobieta</v>
      </c>
      <c r="Q661">
        <f t="shared" si="74"/>
        <v>33</v>
      </c>
      <c r="R661">
        <f t="shared" si="75"/>
        <v>48</v>
      </c>
      <c r="S661">
        <f t="shared" ca="1" si="76"/>
        <v>244</v>
      </c>
    </row>
    <row r="662" spans="1:19">
      <c r="A662" s="1" t="s">
        <v>12</v>
      </c>
      <c r="B662" s="2">
        <v>399.72</v>
      </c>
      <c r="C662" s="1">
        <v>399.72</v>
      </c>
      <c r="D662" s="1" t="s">
        <v>461</v>
      </c>
      <c r="E662" s="1">
        <v>11</v>
      </c>
      <c r="F662" s="3">
        <v>2368.5700000000002</v>
      </c>
      <c r="G662" s="1">
        <v>0</v>
      </c>
      <c r="H662" s="1" t="s">
        <v>1611</v>
      </c>
      <c r="I662" s="1" t="s">
        <v>463</v>
      </c>
      <c r="J662" s="1" t="s">
        <v>16</v>
      </c>
      <c r="K662" s="1" t="s">
        <v>1583</v>
      </c>
      <c r="L662" s="1" t="s">
        <v>1500</v>
      </c>
      <c r="M662">
        <f t="shared" si="70"/>
        <v>399.72</v>
      </c>
      <c r="N662" t="str">
        <f t="shared" si="71"/>
        <v>1957-10-12</v>
      </c>
      <c r="O662">
        <f t="shared" si="72"/>
        <v>54</v>
      </c>
      <c r="P662" t="str">
        <f t="shared" si="73"/>
        <v>kobieta</v>
      </c>
      <c r="Q662">
        <f t="shared" si="74"/>
        <v>412</v>
      </c>
      <c r="R662">
        <f t="shared" si="75"/>
        <v>48</v>
      </c>
      <c r="S662">
        <f t="shared" ca="1" si="76"/>
        <v>12</v>
      </c>
    </row>
    <row r="663" spans="1:19">
      <c r="A663" s="1" t="s">
        <v>56</v>
      </c>
      <c r="B663" s="2">
        <v>200</v>
      </c>
      <c r="C663" s="1">
        <v>200</v>
      </c>
      <c r="D663" s="1" t="s">
        <v>805</v>
      </c>
      <c r="E663" s="1">
        <v>13</v>
      </c>
      <c r="F663" s="3">
        <v>670</v>
      </c>
      <c r="G663" s="1">
        <v>2</v>
      </c>
      <c r="H663" s="1" t="s">
        <v>1612</v>
      </c>
      <c r="I663" s="1" t="s">
        <v>807</v>
      </c>
      <c r="J663" s="1" t="s">
        <v>16</v>
      </c>
      <c r="K663" s="1" t="s">
        <v>1613</v>
      </c>
      <c r="L663" s="1" t="s">
        <v>28</v>
      </c>
      <c r="M663">
        <f t="shared" si="70"/>
        <v>200</v>
      </c>
      <c r="N663" t="str">
        <f t="shared" si="71"/>
        <v>1946-07-08</v>
      </c>
      <c r="O663">
        <f t="shared" si="72"/>
        <v>65</v>
      </c>
      <c r="P663" t="str">
        <f t="shared" si="73"/>
        <v>kobieta</v>
      </c>
      <c r="Q663">
        <f t="shared" si="74"/>
        <v>68</v>
      </c>
      <c r="R663">
        <f t="shared" si="75"/>
        <v>48</v>
      </c>
      <c r="S663">
        <f t="shared" ca="1" si="76"/>
        <v>5216</v>
      </c>
    </row>
    <row r="664" spans="1:19">
      <c r="A664" s="1" t="s">
        <v>19</v>
      </c>
      <c r="B664" s="2">
        <v>1000</v>
      </c>
      <c r="C664" s="1">
        <v>1000</v>
      </c>
      <c r="D664" s="1" t="s">
        <v>1040</v>
      </c>
      <c r="E664" s="1">
        <v>13</v>
      </c>
      <c r="F664" s="3">
        <v>930</v>
      </c>
      <c r="G664" s="1">
        <v>0</v>
      </c>
      <c r="H664" s="1" t="s">
        <v>1614</v>
      </c>
      <c r="I664" s="1" t="s">
        <v>1042</v>
      </c>
      <c r="J664" s="1" t="s">
        <v>16</v>
      </c>
      <c r="K664" s="1" t="s">
        <v>1613</v>
      </c>
      <c r="L664" s="1" t="s">
        <v>1347</v>
      </c>
      <c r="M664">
        <f t="shared" si="70"/>
        <v>1000</v>
      </c>
      <c r="N664" t="str">
        <f t="shared" si="71"/>
        <v>1946-01-01</v>
      </c>
      <c r="O664">
        <f t="shared" si="72"/>
        <v>65</v>
      </c>
      <c r="P664" t="str">
        <f t="shared" si="73"/>
        <v>kobieta</v>
      </c>
      <c r="Q664">
        <f t="shared" si="74"/>
        <v>133</v>
      </c>
      <c r="R664">
        <f t="shared" si="75"/>
        <v>48</v>
      </c>
      <c r="S664">
        <f t="shared" ca="1" si="76"/>
        <v>1</v>
      </c>
    </row>
    <row r="665" spans="1:19">
      <c r="A665" s="1" t="s">
        <v>19</v>
      </c>
      <c r="B665" s="2">
        <v>800</v>
      </c>
      <c r="C665" s="1">
        <v>600</v>
      </c>
      <c r="D665" s="1" t="s">
        <v>36</v>
      </c>
      <c r="E665" s="1">
        <v>16</v>
      </c>
      <c r="F665" s="3">
        <v>892</v>
      </c>
      <c r="G665" s="1">
        <v>0</v>
      </c>
      <c r="H665" s="1" t="s">
        <v>1615</v>
      </c>
      <c r="I665" s="1" t="s">
        <v>38</v>
      </c>
      <c r="J665" s="1" t="s">
        <v>16</v>
      </c>
      <c r="K665" s="1" t="s">
        <v>1613</v>
      </c>
      <c r="L665" s="1" t="s">
        <v>1267</v>
      </c>
      <c r="M665">
        <f t="shared" si="70"/>
        <v>600</v>
      </c>
      <c r="N665" t="str">
        <f t="shared" si="71"/>
        <v>1946-01-22</v>
      </c>
      <c r="O665">
        <f t="shared" si="72"/>
        <v>65</v>
      </c>
      <c r="P665" t="str">
        <f t="shared" si="73"/>
        <v>kobieta</v>
      </c>
      <c r="Q665">
        <f t="shared" si="74"/>
        <v>203</v>
      </c>
      <c r="R665">
        <f t="shared" si="75"/>
        <v>48</v>
      </c>
      <c r="S665">
        <f t="shared" ca="1" si="76"/>
        <v>0</v>
      </c>
    </row>
    <row r="666" spans="1:19">
      <c r="A666" s="1" t="s">
        <v>19</v>
      </c>
      <c r="B666" s="2">
        <v>800</v>
      </c>
      <c r="C666" s="1">
        <v>700</v>
      </c>
      <c r="D666" s="1" t="s">
        <v>1009</v>
      </c>
      <c r="E666" s="1">
        <v>16</v>
      </c>
      <c r="F666" s="3">
        <v>980</v>
      </c>
      <c r="G666" s="1">
        <v>0</v>
      </c>
      <c r="H666" s="1" t="s">
        <v>1616</v>
      </c>
      <c r="I666" s="1" t="s">
        <v>1011</v>
      </c>
      <c r="J666" s="1" t="s">
        <v>16</v>
      </c>
      <c r="K666" s="1" t="s">
        <v>1613</v>
      </c>
      <c r="L666" s="1" t="s">
        <v>1580</v>
      </c>
      <c r="M666">
        <f t="shared" si="70"/>
        <v>700</v>
      </c>
      <c r="N666" t="str">
        <f t="shared" si="71"/>
        <v>1943-05-11</v>
      </c>
      <c r="O666">
        <f t="shared" si="72"/>
        <v>68</v>
      </c>
      <c r="P666" t="str">
        <f t="shared" si="73"/>
        <v>kobieta</v>
      </c>
      <c r="Q666">
        <f t="shared" si="74"/>
        <v>133</v>
      </c>
      <c r="R666">
        <f t="shared" si="75"/>
        <v>48</v>
      </c>
      <c r="S666">
        <f t="shared" ca="1" si="76"/>
        <v>7</v>
      </c>
    </row>
    <row r="667" spans="1:19">
      <c r="A667" s="1" t="s">
        <v>19</v>
      </c>
      <c r="B667" s="2">
        <v>300</v>
      </c>
      <c r="C667" s="1">
        <v>300</v>
      </c>
      <c r="D667" s="1" t="s">
        <v>1001</v>
      </c>
      <c r="E667" s="1">
        <v>13</v>
      </c>
      <c r="F667" s="3">
        <v>1027</v>
      </c>
      <c r="G667" s="1">
        <v>2</v>
      </c>
      <c r="H667" s="1" t="s">
        <v>1617</v>
      </c>
      <c r="I667" s="1" t="s">
        <v>1003</v>
      </c>
      <c r="J667" s="1" t="s">
        <v>16</v>
      </c>
      <c r="K667" s="1" t="s">
        <v>1613</v>
      </c>
      <c r="L667" s="1" t="s">
        <v>1267</v>
      </c>
      <c r="M667">
        <f t="shared" si="70"/>
        <v>300</v>
      </c>
      <c r="N667" t="str">
        <f t="shared" si="71"/>
        <v>1943-04-08</v>
      </c>
      <c r="O667">
        <f t="shared" si="72"/>
        <v>68</v>
      </c>
      <c r="P667" t="str">
        <f t="shared" si="73"/>
        <v>kobieta</v>
      </c>
      <c r="Q667">
        <f t="shared" si="74"/>
        <v>194</v>
      </c>
      <c r="R667">
        <f t="shared" si="75"/>
        <v>48</v>
      </c>
      <c r="S667">
        <f t="shared" ca="1" si="76"/>
        <v>0</v>
      </c>
    </row>
    <row r="668" spans="1:19">
      <c r="A668" s="1" t="s">
        <v>19</v>
      </c>
      <c r="B668" s="2">
        <v>700</v>
      </c>
      <c r="C668" s="1">
        <v>600</v>
      </c>
      <c r="D668" s="1" t="s">
        <v>1118</v>
      </c>
      <c r="E668" s="1">
        <v>13</v>
      </c>
      <c r="F668" s="3">
        <v>640</v>
      </c>
      <c r="G668" s="1">
        <v>0</v>
      </c>
      <c r="H668" s="1" t="s">
        <v>1618</v>
      </c>
      <c r="I668" s="1" t="s">
        <v>1120</v>
      </c>
      <c r="J668" s="1" t="s">
        <v>16</v>
      </c>
      <c r="K668" s="1" t="s">
        <v>1613</v>
      </c>
      <c r="L668" s="1" t="s">
        <v>1267</v>
      </c>
      <c r="M668">
        <f t="shared" si="70"/>
        <v>600</v>
      </c>
      <c r="N668" t="str">
        <f t="shared" si="71"/>
        <v>1939-11-24</v>
      </c>
      <c r="O668">
        <f t="shared" si="72"/>
        <v>72</v>
      </c>
      <c r="P668" t="str">
        <f t="shared" si="73"/>
        <v>kobieta</v>
      </c>
      <c r="Q668">
        <f t="shared" si="74"/>
        <v>141</v>
      </c>
      <c r="R668">
        <f t="shared" si="75"/>
        <v>48</v>
      </c>
      <c r="S668">
        <f t="shared" ca="1" si="76"/>
        <v>0</v>
      </c>
    </row>
    <row r="669" spans="1:19">
      <c r="A669" s="1" t="s">
        <v>19</v>
      </c>
      <c r="B669" s="2">
        <v>500</v>
      </c>
      <c r="C669" s="1">
        <v>400</v>
      </c>
      <c r="D669" s="1" t="s">
        <v>1619</v>
      </c>
      <c r="E669" s="1">
        <v>16</v>
      </c>
      <c r="F669" s="3">
        <v>2084.79</v>
      </c>
      <c r="G669" s="1">
        <v>0</v>
      </c>
      <c r="H669" s="1" t="s">
        <v>1620</v>
      </c>
      <c r="I669" s="1" t="s">
        <v>356</v>
      </c>
      <c r="J669" s="1" t="s">
        <v>16</v>
      </c>
      <c r="K669" s="1" t="s">
        <v>1613</v>
      </c>
      <c r="L669" s="1" t="s">
        <v>1323</v>
      </c>
      <c r="M669">
        <f t="shared" si="70"/>
        <v>400</v>
      </c>
      <c r="N669" t="str">
        <f t="shared" si="71"/>
        <v>1949-01-01</v>
      </c>
      <c r="O669">
        <f t="shared" si="72"/>
        <v>62</v>
      </c>
      <c r="P669" t="str">
        <f t="shared" si="73"/>
        <v>kobieta</v>
      </c>
      <c r="Q669">
        <f t="shared" si="74"/>
        <v>143</v>
      </c>
      <c r="R669">
        <f t="shared" si="75"/>
        <v>48</v>
      </c>
      <c r="S669">
        <f t="shared" ca="1" si="76"/>
        <v>0</v>
      </c>
    </row>
    <row r="670" spans="1:19">
      <c r="A670" s="1" t="s">
        <v>19</v>
      </c>
      <c r="B670" s="2">
        <v>315.12</v>
      </c>
      <c r="C670" s="1">
        <v>315.12</v>
      </c>
      <c r="D670" s="1" t="s">
        <v>989</v>
      </c>
      <c r="E670" s="1">
        <v>13</v>
      </c>
      <c r="F670" s="3">
        <v>960</v>
      </c>
      <c r="G670" s="1">
        <v>6</v>
      </c>
      <c r="H670" s="1" t="s">
        <v>1621</v>
      </c>
      <c r="I670" s="1" t="s">
        <v>991</v>
      </c>
      <c r="J670" s="1" t="s">
        <v>16</v>
      </c>
      <c r="K670" s="1" t="s">
        <v>1613</v>
      </c>
      <c r="L670" s="1" t="s">
        <v>1347</v>
      </c>
      <c r="M670">
        <f t="shared" si="70"/>
        <v>315.12</v>
      </c>
      <c r="N670" t="str">
        <f t="shared" si="71"/>
        <v>1938-08-21</v>
      </c>
      <c r="O670">
        <f t="shared" si="72"/>
        <v>73</v>
      </c>
      <c r="P670" t="str">
        <f t="shared" si="73"/>
        <v>mężczyzna</v>
      </c>
      <c r="Q670">
        <f t="shared" si="74"/>
        <v>142</v>
      </c>
      <c r="R670">
        <f t="shared" si="75"/>
        <v>48</v>
      </c>
      <c r="S670">
        <f t="shared" ca="1" si="76"/>
        <v>1</v>
      </c>
    </row>
    <row r="671" spans="1:19">
      <c r="A671" s="1" t="s">
        <v>19</v>
      </c>
      <c r="B671" s="2">
        <v>667.77</v>
      </c>
      <c r="C671" s="1">
        <v>667.77</v>
      </c>
      <c r="D671" s="1" t="s">
        <v>1027</v>
      </c>
      <c r="E671" s="1">
        <v>13</v>
      </c>
      <c r="F671" s="3">
        <v>930</v>
      </c>
      <c r="G671" s="1">
        <v>3</v>
      </c>
      <c r="H671" s="1" t="s">
        <v>1622</v>
      </c>
      <c r="I671" s="1" t="s">
        <v>1029</v>
      </c>
      <c r="J671" s="1" t="s">
        <v>16</v>
      </c>
      <c r="K671" s="1" t="s">
        <v>1613</v>
      </c>
      <c r="L671" s="1" t="s">
        <v>1267</v>
      </c>
      <c r="M671">
        <f t="shared" si="70"/>
        <v>667.77</v>
      </c>
      <c r="N671" t="str">
        <f t="shared" si="71"/>
        <v>1948-02-11</v>
      </c>
      <c r="O671">
        <f t="shared" si="72"/>
        <v>63</v>
      </c>
      <c r="P671" t="str">
        <f t="shared" si="73"/>
        <v>kobieta</v>
      </c>
      <c r="Q671">
        <f t="shared" si="74"/>
        <v>96</v>
      </c>
      <c r="R671">
        <f t="shared" si="75"/>
        <v>48</v>
      </c>
      <c r="S671">
        <f t="shared" ca="1" si="76"/>
        <v>0</v>
      </c>
    </row>
    <row r="672" spans="1:19">
      <c r="A672" s="1" t="s">
        <v>19</v>
      </c>
      <c r="B672" s="2">
        <v>299.27999999999997</v>
      </c>
      <c r="C672" s="1">
        <v>299.27999999999997</v>
      </c>
      <c r="D672" s="1" t="s">
        <v>240</v>
      </c>
      <c r="E672" s="1">
        <v>16</v>
      </c>
      <c r="F672" s="3">
        <v>1389</v>
      </c>
      <c r="G672" s="1">
        <v>1</v>
      </c>
      <c r="H672" s="1" t="s">
        <v>1623</v>
      </c>
      <c r="I672" s="1" t="s">
        <v>242</v>
      </c>
      <c r="J672" s="1" t="s">
        <v>16</v>
      </c>
      <c r="K672" s="1" t="s">
        <v>1613</v>
      </c>
      <c r="L672" s="1" t="s">
        <v>1347</v>
      </c>
      <c r="M672">
        <f t="shared" si="70"/>
        <v>299.27999999999997</v>
      </c>
      <c r="N672" t="str">
        <f t="shared" si="71"/>
        <v>1948-07-16</v>
      </c>
      <c r="O672">
        <f t="shared" si="72"/>
        <v>63</v>
      </c>
      <c r="P672" t="str">
        <f t="shared" si="73"/>
        <v>kobieta</v>
      </c>
      <c r="Q672">
        <f t="shared" si="74"/>
        <v>93</v>
      </c>
      <c r="R672">
        <f t="shared" si="75"/>
        <v>48</v>
      </c>
      <c r="S672">
        <f t="shared" ca="1" si="76"/>
        <v>1</v>
      </c>
    </row>
    <row r="673" spans="1:19">
      <c r="A673" s="1" t="s">
        <v>19</v>
      </c>
      <c r="B673" s="2">
        <v>400</v>
      </c>
      <c r="C673" s="1">
        <v>400</v>
      </c>
      <c r="D673" s="1" t="s">
        <v>952</v>
      </c>
      <c r="E673" s="1">
        <v>13</v>
      </c>
      <c r="F673" s="3">
        <v>840</v>
      </c>
      <c r="G673" s="1">
        <v>4</v>
      </c>
      <c r="H673" s="1" t="s">
        <v>1624</v>
      </c>
      <c r="I673" s="1" t="s">
        <v>951</v>
      </c>
      <c r="J673" s="1" t="s">
        <v>16</v>
      </c>
      <c r="K673" s="1" t="s">
        <v>1613</v>
      </c>
      <c r="L673" s="1" t="s">
        <v>1457</v>
      </c>
      <c r="M673">
        <f t="shared" si="70"/>
        <v>400</v>
      </c>
      <c r="N673" t="str">
        <f t="shared" si="71"/>
        <v>1947-03-19</v>
      </c>
      <c r="O673">
        <f t="shared" si="72"/>
        <v>64</v>
      </c>
      <c r="P673" t="str">
        <f t="shared" si="73"/>
        <v>kobieta</v>
      </c>
      <c r="Q673">
        <f t="shared" si="74"/>
        <v>115</v>
      </c>
      <c r="R673">
        <f t="shared" si="75"/>
        <v>48</v>
      </c>
      <c r="S673">
        <f t="shared" ca="1" si="76"/>
        <v>2</v>
      </c>
    </row>
    <row r="674" spans="1:19">
      <c r="A674" s="1" t="s">
        <v>19</v>
      </c>
      <c r="B674" s="2">
        <v>265.58</v>
      </c>
      <c r="C674" s="1">
        <v>265.58</v>
      </c>
      <c r="D674" s="1" t="s">
        <v>1086</v>
      </c>
      <c r="E674" s="1">
        <v>13</v>
      </c>
      <c r="F674" s="3">
        <v>1189</v>
      </c>
      <c r="G674" s="1">
        <v>6</v>
      </c>
      <c r="H674" s="1" t="s">
        <v>1625</v>
      </c>
      <c r="I674" s="1" t="s">
        <v>303</v>
      </c>
      <c r="J674" s="1" t="s">
        <v>16</v>
      </c>
      <c r="K674" s="1" t="s">
        <v>1613</v>
      </c>
      <c r="L674" s="1" t="s">
        <v>1347</v>
      </c>
      <c r="M674">
        <f t="shared" si="70"/>
        <v>265.58</v>
      </c>
      <c r="N674" t="str">
        <f t="shared" si="71"/>
        <v>1949-12-01</v>
      </c>
      <c r="O674">
        <f t="shared" si="72"/>
        <v>62</v>
      </c>
      <c r="P674" t="str">
        <f t="shared" si="73"/>
        <v>kobieta</v>
      </c>
      <c r="Q674">
        <f t="shared" si="74"/>
        <v>72</v>
      </c>
      <c r="R674">
        <f t="shared" si="75"/>
        <v>48</v>
      </c>
      <c r="S674">
        <f t="shared" ca="1" si="76"/>
        <v>1</v>
      </c>
    </row>
    <row r="675" spans="1:19">
      <c r="A675" s="1" t="s">
        <v>19</v>
      </c>
      <c r="B675" s="2">
        <v>200</v>
      </c>
      <c r="C675" s="1">
        <v>200</v>
      </c>
      <c r="D675" s="1" t="s">
        <v>1057</v>
      </c>
      <c r="E675" s="1">
        <v>13</v>
      </c>
      <c r="F675" s="3">
        <v>720.19</v>
      </c>
      <c r="G675" s="1">
        <v>4</v>
      </c>
      <c r="H675" s="1" t="s">
        <v>1626</v>
      </c>
      <c r="I675" s="1" t="s">
        <v>822</v>
      </c>
      <c r="J675" s="1" t="s">
        <v>16</v>
      </c>
      <c r="K675" s="1" t="s">
        <v>1613</v>
      </c>
      <c r="L675" s="1" t="s">
        <v>1267</v>
      </c>
      <c r="M675">
        <f t="shared" si="70"/>
        <v>200</v>
      </c>
      <c r="N675" t="str">
        <f t="shared" si="71"/>
        <v>1944-02-02</v>
      </c>
      <c r="O675">
        <f t="shared" si="72"/>
        <v>67</v>
      </c>
      <c r="P675" t="str">
        <f t="shared" si="73"/>
        <v>kobieta</v>
      </c>
      <c r="Q675">
        <f t="shared" si="74"/>
        <v>95</v>
      </c>
      <c r="R675">
        <f t="shared" si="75"/>
        <v>48</v>
      </c>
      <c r="S675">
        <f t="shared" ca="1" si="76"/>
        <v>0</v>
      </c>
    </row>
    <row r="676" spans="1:19">
      <c r="A676" s="1" t="s">
        <v>24</v>
      </c>
      <c r="B676" s="2">
        <v>200</v>
      </c>
      <c r="C676" s="1">
        <v>0</v>
      </c>
      <c r="D676" s="1" t="s">
        <v>911</v>
      </c>
      <c r="E676" s="1">
        <v>13</v>
      </c>
      <c r="F676" s="3">
        <v>2120</v>
      </c>
      <c r="G676" s="1">
        <v>0</v>
      </c>
      <c r="H676" s="1" t="s">
        <v>1627</v>
      </c>
      <c r="I676" s="1" t="s">
        <v>913</v>
      </c>
      <c r="J676" s="1" t="s">
        <v>16</v>
      </c>
      <c r="K676" s="1" t="s">
        <v>16</v>
      </c>
      <c r="L676" s="1" t="s">
        <v>28</v>
      </c>
      <c r="M676">
        <f t="shared" si="70"/>
        <v>200</v>
      </c>
      <c r="N676" t="str">
        <f t="shared" si="71"/>
        <v>1943-11-21</v>
      </c>
      <c r="O676">
        <f t="shared" si="72"/>
        <v>68</v>
      </c>
      <c r="P676" t="str">
        <f t="shared" si="73"/>
        <v>kobieta</v>
      </c>
      <c r="Q676">
        <f t="shared" si="74"/>
        <v>121</v>
      </c>
      <c r="R676">
        <f t="shared" si="75"/>
        <v>48</v>
      </c>
      <c r="S676">
        <f t="shared" ca="1" si="76"/>
        <v>0</v>
      </c>
    </row>
    <row r="677" spans="1:19">
      <c r="A677" s="1" t="s">
        <v>19</v>
      </c>
      <c r="B677" s="2">
        <v>400</v>
      </c>
      <c r="C677" s="1">
        <v>400</v>
      </c>
      <c r="D677" s="1" t="s">
        <v>892</v>
      </c>
      <c r="E677" s="1">
        <v>13</v>
      </c>
      <c r="F677" s="3">
        <v>917</v>
      </c>
      <c r="G677" s="1">
        <v>0</v>
      </c>
      <c r="H677" s="1" t="s">
        <v>1628</v>
      </c>
      <c r="I677" s="1" t="s">
        <v>894</v>
      </c>
      <c r="J677" s="1" t="s">
        <v>16</v>
      </c>
      <c r="K677" s="1" t="s">
        <v>1613</v>
      </c>
      <c r="L677" s="1" t="s">
        <v>1580</v>
      </c>
      <c r="M677">
        <f t="shared" si="70"/>
        <v>400</v>
      </c>
      <c r="N677" t="str">
        <f t="shared" si="71"/>
        <v>1948-09-19</v>
      </c>
      <c r="O677">
        <f t="shared" si="72"/>
        <v>63</v>
      </c>
      <c r="P677" t="str">
        <f t="shared" si="73"/>
        <v>kobieta</v>
      </c>
      <c r="Q677">
        <f t="shared" si="74"/>
        <v>78</v>
      </c>
      <c r="R677">
        <f t="shared" si="75"/>
        <v>48</v>
      </c>
      <c r="S677">
        <f t="shared" ca="1" si="76"/>
        <v>7</v>
      </c>
    </row>
    <row r="678" spans="1:19">
      <c r="A678" s="1" t="s">
        <v>24</v>
      </c>
      <c r="B678" s="2">
        <v>500</v>
      </c>
      <c r="C678" s="1">
        <v>0</v>
      </c>
      <c r="D678" s="1" t="s">
        <v>1629</v>
      </c>
      <c r="E678" s="1">
        <v>11</v>
      </c>
      <c r="F678" s="3">
        <v>1800</v>
      </c>
      <c r="G678" s="1">
        <v>0</v>
      </c>
      <c r="H678" s="1" t="s">
        <v>1630</v>
      </c>
      <c r="I678" s="1" t="s">
        <v>356</v>
      </c>
      <c r="J678" s="1" t="s">
        <v>16</v>
      </c>
      <c r="K678" s="1" t="s">
        <v>16</v>
      </c>
      <c r="L678" s="1" t="s">
        <v>28</v>
      </c>
      <c r="M678">
        <f t="shared" si="70"/>
        <v>500</v>
      </c>
      <c r="N678" t="str">
        <f t="shared" si="71"/>
        <v>1957-10-26</v>
      </c>
      <c r="O678">
        <f t="shared" si="72"/>
        <v>54</v>
      </c>
      <c r="P678" t="str">
        <f t="shared" si="73"/>
        <v>mężczyzna</v>
      </c>
      <c r="Q678">
        <f t="shared" si="74"/>
        <v>143</v>
      </c>
      <c r="R678">
        <f t="shared" si="75"/>
        <v>48</v>
      </c>
      <c r="S678">
        <f t="shared" ca="1" si="76"/>
        <v>0</v>
      </c>
    </row>
    <row r="679" spans="1:19">
      <c r="A679" s="1" t="s">
        <v>19</v>
      </c>
      <c r="B679" s="2">
        <v>500</v>
      </c>
      <c r="C679" s="1">
        <v>500</v>
      </c>
      <c r="D679" s="1" t="s">
        <v>182</v>
      </c>
      <c r="E679" s="1">
        <v>13</v>
      </c>
      <c r="F679" s="3">
        <v>3251</v>
      </c>
      <c r="G679" s="1">
        <v>0</v>
      </c>
      <c r="H679" s="1" t="s">
        <v>1631</v>
      </c>
      <c r="I679" s="1" t="s">
        <v>184</v>
      </c>
      <c r="J679" s="1" t="s">
        <v>16</v>
      </c>
      <c r="K679" s="1" t="s">
        <v>1613</v>
      </c>
      <c r="L679" s="1" t="s">
        <v>1267</v>
      </c>
      <c r="M679">
        <f t="shared" si="70"/>
        <v>500</v>
      </c>
      <c r="N679" t="str">
        <f t="shared" si="71"/>
        <v>1948-12-07</v>
      </c>
      <c r="O679">
        <f t="shared" si="72"/>
        <v>63</v>
      </c>
      <c r="P679" t="str">
        <f t="shared" si="73"/>
        <v>kobieta</v>
      </c>
      <c r="Q679">
        <f t="shared" si="74"/>
        <v>140</v>
      </c>
      <c r="R679">
        <f t="shared" si="75"/>
        <v>48</v>
      </c>
      <c r="S679">
        <f t="shared" ca="1" si="76"/>
        <v>0</v>
      </c>
    </row>
    <row r="680" spans="1:19">
      <c r="A680" s="1" t="s">
        <v>19</v>
      </c>
      <c r="B680" s="2">
        <v>300</v>
      </c>
      <c r="C680" s="1">
        <v>300</v>
      </c>
      <c r="D680" s="1" t="s">
        <v>1632</v>
      </c>
      <c r="E680" s="1">
        <v>12</v>
      </c>
      <c r="F680" s="3">
        <v>1896</v>
      </c>
      <c r="G680" s="1">
        <v>0</v>
      </c>
      <c r="H680" s="1" t="s">
        <v>1633</v>
      </c>
      <c r="I680" s="1" t="s">
        <v>1634</v>
      </c>
      <c r="J680" s="1" t="s">
        <v>90</v>
      </c>
      <c r="K680" s="1" t="s">
        <v>1613</v>
      </c>
      <c r="L680" s="1" t="s">
        <v>1347</v>
      </c>
      <c r="M680">
        <f t="shared" si="70"/>
        <v>300</v>
      </c>
      <c r="N680" t="str">
        <f t="shared" si="71"/>
        <v>1971-12-26</v>
      </c>
      <c r="O680">
        <f t="shared" si="72"/>
        <v>40</v>
      </c>
      <c r="P680" t="str">
        <f t="shared" si="73"/>
        <v>kobieta</v>
      </c>
      <c r="Q680">
        <f t="shared" si="74"/>
        <v>15</v>
      </c>
      <c r="R680">
        <f t="shared" si="75"/>
        <v>1</v>
      </c>
      <c r="S680">
        <f t="shared" ca="1" si="76"/>
        <v>1</v>
      </c>
    </row>
    <row r="681" spans="1:19">
      <c r="A681" s="1" t="s">
        <v>19</v>
      </c>
      <c r="B681" s="2">
        <v>900</v>
      </c>
      <c r="C681" s="1">
        <v>900</v>
      </c>
      <c r="D681" s="1" t="s">
        <v>1020</v>
      </c>
      <c r="E681" s="1">
        <v>17</v>
      </c>
      <c r="F681" s="3">
        <v>684</v>
      </c>
      <c r="G681" s="1">
        <v>6</v>
      </c>
      <c r="H681" s="1" t="s">
        <v>1635</v>
      </c>
      <c r="I681" s="1" t="s">
        <v>1022</v>
      </c>
      <c r="J681" s="1" t="s">
        <v>1023</v>
      </c>
      <c r="K681" s="1" t="s">
        <v>1613</v>
      </c>
      <c r="L681" s="1" t="s">
        <v>1347</v>
      </c>
      <c r="M681">
        <f t="shared" si="70"/>
        <v>900</v>
      </c>
      <c r="N681" t="str">
        <f t="shared" si="71"/>
        <v>1953-05-21</v>
      </c>
      <c r="O681">
        <f t="shared" si="72"/>
        <v>58</v>
      </c>
      <c r="P681" t="str">
        <f t="shared" si="73"/>
        <v>kobieta</v>
      </c>
      <c r="Q681">
        <f t="shared" si="74"/>
        <v>192</v>
      </c>
      <c r="R681">
        <f t="shared" si="75"/>
        <v>17</v>
      </c>
      <c r="S681">
        <f t="shared" ca="1" si="76"/>
        <v>1</v>
      </c>
    </row>
    <row r="682" spans="1:19">
      <c r="A682" s="1" t="s">
        <v>12</v>
      </c>
      <c r="B682" s="2">
        <v>575.64</v>
      </c>
      <c r="C682" s="1">
        <v>575.64</v>
      </c>
      <c r="D682" s="1" t="s">
        <v>1012</v>
      </c>
      <c r="E682" s="1">
        <v>11</v>
      </c>
      <c r="F682" s="3">
        <v>3200</v>
      </c>
      <c r="G682" s="1">
        <v>6</v>
      </c>
      <c r="H682" s="1" t="s">
        <v>1636</v>
      </c>
      <c r="I682" s="1" t="s">
        <v>1014</v>
      </c>
      <c r="J682" s="1" t="s">
        <v>16</v>
      </c>
      <c r="K682" s="1" t="s">
        <v>1613</v>
      </c>
      <c r="L682" s="1" t="s">
        <v>18</v>
      </c>
      <c r="M682">
        <f t="shared" si="70"/>
        <v>575.64</v>
      </c>
      <c r="N682" t="str">
        <f t="shared" si="71"/>
        <v>1959-04-23</v>
      </c>
      <c r="O682">
        <f t="shared" si="72"/>
        <v>52</v>
      </c>
      <c r="P682" t="str">
        <f t="shared" si="73"/>
        <v>mężczyzna</v>
      </c>
      <c r="Q682">
        <f t="shared" si="74"/>
        <v>191</v>
      </c>
      <c r="R682">
        <f t="shared" si="75"/>
        <v>48</v>
      </c>
      <c r="S682">
        <f t="shared" ca="1" si="76"/>
        <v>0</v>
      </c>
    </row>
    <row r="683" spans="1:19">
      <c r="A683" s="1" t="s">
        <v>19</v>
      </c>
      <c r="B683" s="2">
        <v>400</v>
      </c>
      <c r="C683" s="1">
        <v>400</v>
      </c>
      <c r="D683" s="1" t="s">
        <v>1079</v>
      </c>
      <c r="E683" s="1">
        <v>11</v>
      </c>
      <c r="F683" s="3">
        <v>2000</v>
      </c>
      <c r="G683" s="1">
        <v>1</v>
      </c>
      <c r="H683" s="1" t="s">
        <v>1637</v>
      </c>
      <c r="I683" s="1" t="s">
        <v>1081</v>
      </c>
      <c r="J683" s="1" t="s">
        <v>16</v>
      </c>
      <c r="K683" s="1" t="s">
        <v>1613</v>
      </c>
      <c r="L683" s="1" t="s">
        <v>1638</v>
      </c>
      <c r="M683">
        <f t="shared" si="70"/>
        <v>400</v>
      </c>
      <c r="N683" t="str">
        <f t="shared" si="71"/>
        <v>1952-04-06</v>
      </c>
      <c r="O683">
        <f t="shared" si="72"/>
        <v>59</v>
      </c>
      <c r="P683" t="str">
        <f t="shared" si="73"/>
        <v>mężczyzna</v>
      </c>
      <c r="Q683">
        <f t="shared" si="74"/>
        <v>72</v>
      </c>
      <c r="R683">
        <f t="shared" si="75"/>
        <v>48</v>
      </c>
      <c r="S683">
        <f t="shared" ca="1" si="76"/>
        <v>8</v>
      </c>
    </row>
    <row r="684" spans="1:19">
      <c r="A684" s="1" t="s">
        <v>19</v>
      </c>
      <c r="B684" s="2">
        <v>200</v>
      </c>
      <c r="C684" s="1">
        <v>200</v>
      </c>
      <c r="D684" s="1" t="s">
        <v>1043</v>
      </c>
      <c r="E684" s="1">
        <v>13</v>
      </c>
      <c r="F684" s="3">
        <v>975</v>
      </c>
      <c r="G684" s="1">
        <v>6</v>
      </c>
      <c r="H684" s="1" t="s">
        <v>1639</v>
      </c>
      <c r="I684" s="1" t="s">
        <v>506</v>
      </c>
      <c r="J684" s="1" t="s">
        <v>16</v>
      </c>
      <c r="K684" s="1" t="s">
        <v>1613</v>
      </c>
      <c r="L684" s="1" t="s">
        <v>1347</v>
      </c>
      <c r="M684">
        <f t="shared" si="70"/>
        <v>200</v>
      </c>
      <c r="N684" t="str">
        <f t="shared" si="71"/>
        <v>1950-02-09</v>
      </c>
      <c r="O684">
        <f t="shared" si="72"/>
        <v>61</v>
      </c>
      <c r="P684" t="str">
        <f t="shared" si="73"/>
        <v>kobieta</v>
      </c>
      <c r="Q684">
        <f t="shared" si="74"/>
        <v>29</v>
      </c>
      <c r="R684">
        <f t="shared" si="75"/>
        <v>48</v>
      </c>
      <c r="S684">
        <f t="shared" ca="1" si="76"/>
        <v>1</v>
      </c>
    </row>
    <row r="685" spans="1:19">
      <c r="A685" s="1" t="s">
        <v>19</v>
      </c>
      <c r="B685" s="2">
        <v>200</v>
      </c>
      <c r="C685" s="1">
        <v>200</v>
      </c>
      <c r="D685" s="1" t="s">
        <v>1024</v>
      </c>
      <c r="E685" s="1">
        <v>11</v>
      </c>
      <c r="F685" s="3">
        <v>1460.17</v>
      </c>
      <c r="G685" s="1">
        <v>3</v>
      </c>
      <c r="H685" s="1" t="s">
        <v>1640</v>
      </c>
      <c r="I685" s="1" t="s">
        <v>1026</v>
      </c>
      <c r="J685" s="1" t="s">
        <v>16</v>
      </c>
      <c r="K685" s="1" t="s">
        <v>1613</v>
      </c>
      <c r="L685" s="1" t="s">
        <v>1347</v>
      </c>
      <c r="M685">
        <f t="shared" si="70"/>
        <v>200</v>
      </c>
      <c r="N685" t="str">
        <f t="shared" si="71"/>
        <v>1956-12-09</v>
      </c>
      <c r="O685">
        <f t="shared" si="72"/>
        <v>55</v>
      </c>
      <c r="P685" t="str">
        <f t="shared" si="73"/>
        <v>mężczyzna</v>
      </c>
      <c r="Q685">
        <f t="shared" si="74"/>
        <v>63</v>
      </c>
      <c r="R685">
        <f t="shared" si="75"/>
        <v>48</v>
      </c>
      <c r="S685">
        <f t="shared" ca="1" si="76"/>
        <v>1</v>
      </c>
    </row>
    <row r="686" spans="1:19">
      <c r="A686" s="1" t="s">
        <v>19</v>
      </c>
      <c r="B686" s="2">
        <v>400</v>
      </c>
      <c r="C686" s="1">
        <v>400</v>
      </c>
      <c r="D686" s="1" t="s">
        <v>108</v>
      </c>
      <c r="E686" s="1">
        <v>13</v>
      </c>
      <c r="F686" s="3">
        <v>729.03</v>
      </c>
      <c r="G686" s="1">
        <v>7</v>
      </c>
      <c r="H686" s="1" t="s">
        <v>1641</v>
      </c>
      <c r="I686" s="1" t="s">
        <v>110</v>
      </c>
      <c r="J686" s="1" t="s">
        <v>16</v>
      </c>
      <c r="K686" s="1" t="s">
        <v>1613</v>
      </c>
      <c r="L686" s="1" t="s">
        <v>1267</v>
      </c>
      <c r="M686">
        <f t="shared" si="70"/>
        <v>400</v>
      </c>
      <c r="N686" t="str">
        <f t="shared" si="71"/>
        <v>1941-08-29</v>
      </c>
      <c r="O686">
        <f t="shared" si="72"/>
        <v>70</v>
      </c>
      <c r="P686" t="str">
        <f t="shared" si="73"/>
        <v>kobieta</v>
      </c>
      <c r="Q686">
        <f t="shared" si="74"/>
        <v>259</v>
      </c>
      <c r="R686">
        <f t="shared" si="75"/>
        <v>48</v>
      </c>
      <c r="S686">
        <f t="shared" ca="1" si="76"/>
        <v>0</v>
      </c>
    </row>
    <row r="687" spans="1:19">
      <c r="A687" s="1" t="s">
        <v>19</v>
      </c>
      <c r="B687" s="2">
        <v>500</v>
      </c>
      <c r="C687" s="1">
        <v>500</v>
      </c>
      <c r="D687" s="1" t="s">
        <v>1049</v>
      </c>
      <c r="E687" s="1">
        <v>11</v>
      </c>
      <c r="F687" s="3">
        <v>1320</v>
      </c>
      <c r="G687" s="1">
        <v>6</v>
      </c>
      <c r="H687" s="1" t="s">
        <v>1642</v>
      </c>
      <c r="I687" s="1" t="s">
        <v>739</v>
      </c>
      <c r="J687" s="1" t="s">
        <v>16</v>
      </c>
      <c r="K687" s="1" t="s">
        <v>1613</v>
      </c>
      <c r="L687" s="1" t="s">
        <v>1457</v>
      </c>
      <c r="M687">
        <f t="shared" si="70"/>
        <v>500</v>
      </c>
      <c r="N687" t="str">
        <f t="shared" si="71"/>
        <v>1958-09-17</v>
      </c>
      <c r="O687">
        <f t="shared" si="72"/>
        <v>53</v>
      </c>
      <c r="P687" t="str">
        <f t="shared" si="73"/>
        <v>mężczyzna</v>
      </c>
      <c r="Q687">
        <f t="shared" si="74"/>
        <v>344</v>
      </c>
      <c r="R687">
        <f t="shared" si="75"/>
        <v>48</v>
      </c>
      <c r="S687">
        <f t="shared" ca="1" si="76"/>
        <v>2</v>
      </c>
    </row>
    <row r="688" spans="1:19">
      <c r="A688" s="1" t="s">
        <v>19</v>
      </c>
      <c r="B688" s="2">
        <v>235.97</v>
      </c>
      <c r="C688" s="1">
        <v>235.97</v>
      </c>
      <c r="D688" s="1" t="s">
        <v>1031</v>
      </c>
      <c r="E688" s="1">
        <v>12</v>
      </c>
      <c r="F688" s="3">
        <v>1100</v>
      </c>
      <c r="G688" s="1">
        <v>6</v>
      </c>
      <c r="H688" s="1" t="s">
        <v>1643</v>
      </c>
      <c r="I688" s="1" t="s">
        <v>1033</v>
      </c>
      <c r="J688" s="1" t="s">
        <v>1034</v>
      </c>
      <c r="K688" s="1" t="s">
        <v>1613</v>
      </c>
      <c r="L688" s="1" t="s">
        <v>1638</v>
      </c>
      <c r="M688">
        <f t="shared" si="70"/>
        <v>235.97</v>
      </c>
      <c r="N688" t="str">
        <f t="shared" si="71"/>
        <v>1946-12-17</v>
      </c>
      <c r="O688">
        <f t="shared" si="72"/>
        <v>65</v>
      </c>
      <c r="P688" t="str">
        <f t="shared" si="73"/>
        <v>mężczyzna</v>
      </c>
      <c r="Q688">
        <f t="shared" si="74"/>
        <v>24</v>
      </c>
      <c r="R688">
        <f t="shared" si="75"/>
        <v>12</v>
      </c>
      <c r="S688">
        <f t="shared" ca="1" si="76"/>
        <v>8</v>
      </c>
    </row>
    <row r="689" spans="1:19">
      <c r="A689" s="1" t="s">
        <v>19</v>
      </c>
      <c r="B689" s="2">
        <v>200</v>
      </c>
      <c r="C689" s="1">
        <v>200</v>
      </c>
      <c r="D689" s="1" t="s">
        <v>64</v>
      </c>
      <c r="E689" s="1">
        <v>13</v>
      </c>
      <c r="F689" s="3">
        <v>997</v>
      </c>
      <c r="G689" s="1">
        <v>6</v>
      </c>
      <c r="H689" s="1" t="s">
        <v>1644</v>
      </c>
      <c r="I689" s="1" t="s">
        <v>66</v>
      </c>
      <c r="J689" s="1" t="s">
        <v>16</v>
      </c>
      <c r="K689" s="1" t="s">
        <v>1613</v>
      </c>
      <c r="L689" s="1" t="s">
        <v>1347</v>
      </c>
      <c r="M689">
        <f t="shared" si="70"/>
        <v>200</v>
      </c>
      <c r="N689" t="str">
        <f t="shared" si="71"/>
        <v>1950-01-10</v>
      </c>
      <c r="O689">
        <f t="shared" si="72"/>
        <v>61</v>
      </c>
      <c r="P689" t="str">
        <f t="shared" si="73"/>
        <v>kobieta</v>
      </c>
      <c r="Q689">
        <f t="shared" si="74"/>
        <v>81</v>
      </c>
      <c r="R689">
        <f t="shared" si="75"/>
        <v>48</v>
      </c>
      <c r="S689">
        <f t="shared" ca="1" si="76"/>
        <v>1</v>
      </c>
    </row>
    <row r="690" spans="1:19">
      <c r="A690" s="1" t="s">
        <v>12</v>
      </c>
      <c r="B690" s="2">
        <v>500</v>
      </c>
      <c r="C690" s="1">
        <v>400</v>
      </c>
      <c r="D690" s="1" t="s">
        <v>1645</v>
      </c>
      <c r="E690" s="1">
        <v>11</v>
      </c>
      <c r="F690" s="3">
        <v>1800</v>
      </c>
      <c r="G690" s="1">
        <v>0</v>
      </c>
      <c r="H690" s="1" t="s">
        <v>1646</v>
      </c>
      <c r="I690" s="1" t="s">
        <v>383</v>
      </c>
      <c r="J690" s="1" t="s">
        <v>16</v>
      </c>
      <c r="K690" s="1" t="s">
        <v>1613</v>
      </c>
      <c r="L690" s="1" t="s">
        <v>1647</v>
      </c>
      <c r="M690">
        <f t="shared" si="70"/>
        <v>400</v>
      </c>
      <c r="N690" t="str">
        <f t="shared" si="71"/>
        <v>1970-08-01</v>
      </c>
      <c r="O690">
        <f t="shared" si="72"/>
        <v>41</v>
      </c>
      <c r="P690" t="str">
        <f t="shared" si="73"/>
        <v>mężczyzna</v>
      </c>
      <c r="Q690">
        <f t="shared" si="74"/>
        <v>107</v>
      </c>
      <c r="R690">
        <f t="shared" si="75"/>
        <v>48</v>
      </c>
      <c r="S690">
        <f t="shared" ca="1" si="76"/>
        <v>213</v>
      </c>
    </row>
    <row r="691" spans="1:19">
      <c r="A691" s="1" t="s">
        <v>19</v>
      </c>
      <c r="B691" s="2">
        <v>282.27999999999997</v>
      </c>
      <c r="C691" s="1">
        <v>282.27999999999997</v>
      </c>
      <c r="D691" s="1" t="s">
        <v>737</v>
      </c>
      <c r="E691" s="1">
        <v>11</v>
      </c>
      <c r="F691" s="3">
        <v>1600</v>
      </c>
      <c r="G691" s="1">
        <v>0</v>
      </c>
      <c r="H691" s="1" t="s">
        <v>1648</v>
      </c>
      <c r="I691" s="1" t="s">
        <v>739</v>
      </c>
      <c r="J691" s="1" t="s">
        <v>16</v>
      </c>
      <c r="K691" s="1" t="s">
        <v>1613</v>
      </c>
      <c r="L691" s="1" t="s">
        <v>1518</v>
      </c>
      <c r="M691">
        <f t="shared" si="70"/>
        <v>282.27999999999997</v>
      </c>
      <c r="N691" t="str">
        <f t="shared" si="71"/>
        <v>1963-03-27</v>
      </c>
      <c r="O691">
        <f t="shared" si="72"/>
        <v>48</v>
      </c>
      <c r="P691" t="str">
        <f t="shared" si="73"/>
        <v>mężczyzna</v>
      </c>
      <c r="Q691">
        <f t="shared" si="74"/>
        <v>344</v>
      </c>
      <c r="R691">
        <f t="shared" si="75"/>
        <v>48</v>
      </c>
      <c r="S691">
        <f t="shared" ca="1" si="76"/>
        <v>3</v>
      </c>
    </row>
    <row r="692" spans="1:19">
      <c r="A692" s="1" t="s">
        <v>19</v>
      </c>
      <c r="B692" s="2">
        <v>300</v>
      </c>
      <c r="C692" s="1">
        <v>300</v>
      </c>
      <c r="D692" s="1" t="s">
        <v>1075</v>
      </c>
      <c r="E692" s="1">
        <v>12</v>
      </c>
      <c r="F692" s="3">
        <v>1027</v>
      </c>
      <c r="G692" s="1">
        <v>6</v>
      </c>
      <c r="H692" s="1" t="s">
        <v>1649</v>
      </c>
      <c r="I692" s="1" t="s">
        <v>1077</v>
      </c>
      <c r="J692" s="1" t="s">
        <v>1078</v>
      </c>
      <c r="K692" s="1" t="s">
        <v>1613</v>
      </c>
      <c r="L692" s="1" t="s">
        <v>1347</v>
      </c>
      <c r="M692">
        <f t="shared" si="70"/>
        <v>300</v>
      </c>
      <c r="N692" t="str">
        <f t="shared" si="71"/>
        <v>1972-05-12</v>
      </c>
      <c r="O692">
        <f t="shared" si="72"/>
        <v>39</v>
      </c>
      <c r="P692" t="str">
        <f t="shared" si="73"/>
        <v>kobieta</v>
      </c>
      <c r="Q692">
        <f t="shared" si="74"/>
        <v>11</v>
      </c>
      <c r="R692">
        <f t="shared" si="75"/>
        <v>48</v>
      </c>
      <c r="S692">
        <f t="shared" ca="1" si="76"/>
        <v>1</v>
      </c>
    </row>
    <row r="693" spans="1:19">
      <c r="A693" s="1" t="s">
        <v>19</v>
      </c>
      <c r="B693" s="2">
        <v>500</v>
      </c>
      <c r="C693" s="1">
        <v>500</v>
      </c>
      <c r="D693" s="1" t="s">
        <v>1045</v>
      </c>
      <c r="E693" s="1">
        <v>12</v>
      </c>
      <c r="F693" s="3">
        <v>600</v>
      </c>
      <c r="G693" s="1">
        <v>7</v>
      </c>
      <c r="H693" s="1" t="s">
        <v>1650</v>
      </c>
      <c r="I693" s="1" t="s">
        <v>1047</v>
      </c>
      <c r="J693" s="1" t="s">
        <v>1048</v>
      </c>
      <c r="K693" s="1" t="s">
        <v>1613</v>
      </c>
      <c r="L693" s="1" t="s">
        <v>1347</v>
      </c>
      <c r="M693">
        <f t="shared" si="70"/>
        <v>500</v>
      </c>
      <c r="N693" t="str">
        <f t="shared" si="71"/>
        <v>1964-03-31</v>
      </c>
      <c r="O693">
        <f t="shared" si="72"/>
        <v>47</v>
      </c>
      <c r="P693" t="str">
        <f t="shared" si="73"/>
        <v>mężczyzna</v>
      </c>
      <c r="Q693">
        <f t="shared" si="74"/>
        <v>11</v>
      </c>
      <c r="R693">
        <f t="shared" si="75"/>
        <v>16</v>
      </c>
      <c r="S693">
        <f t="shared" ca="1" si="76"/>
        <v>1</v>
      </c>
    </row>
    <row r="694" spans="1:19">
      <c r="A694" s="1" t="s">
        <v>12</v>
      </c>
      <c r="B694" s="2">
        <v>200</v>
      </c>
      <c r="C694" s="1">
        <v>200</v>
      </c>
      <c r="D694" s="1" t="s">
        <v>799</v>
      </c>
      <c r="E694" s="1">
        <v>12</v>
      </c>
      <c r="F694" s="3">
        <v>599.03</v>
      </c>
      <c r="G694" s="1">
        <v>5</v>
      </c>
      <c r="H694" s="1" t="s">
        <v>1651</v>
      </c>
      <c r="I694" s="1" t="s">
        <v>121</v>
      </c>
      <c r="J694" s="1" t="s">
        <v>396</v>
      </c>
      <c r="K694" s="1" t="s">
        <v>1613</v>
      </c>
      <c r="L694" s="1" t="s">
        <v>1568</v>
      </c>
      <c r="M694">
        <f t="shared" si="70"/>
        <v>200</v>
      </c>
      <c r="N694" t="str">
        <f t="shared" si="71"/>
        <v>1974-12-03</v>
      </c>
      <c r="O694">
        <f t="shared" si="72"/>
        <v>37</v>
      </c>
      <c r="P694" t="str">
        <f t="shared" si="73"/>
        <v>kobieta</v>
      </c>
      <c r="Q694">
        <f t="shared" si="74"/>
        <v>21</v>
      </c>
      <c r="R694">
        <f t="shared" si="75"/>
        <v>0</v>
      </c>
      <c r="S694">
        <f t="shared" ca="1" si="76"/>
        <v>9</v>
      </c>
    </row>
    <row r="695" spans="1:19">
      <c r="A695" s="1" t="s">
        <v>19</v>
      </c>
      <c r="B695" s="2">
        <v>289.72000000000003</v>
      </c>
      <c r="C695" s="1">
        <v>289.72000000000003</v>
      </c>
      <c r="D695" s="1" t="s">
        <v>1071</v>
      </c>
      <c r="E695" s="1">
        <v>16</v>
      </c>
      <c r="F695" s="3">
        <v>1045.5999999999999</v>
      </c>
      <c r="G695" s="1">
        <v>7</v>
      </c>
      <c r="H695" s="1" t="s">
        <v>1652</v>
      </c>
      <c r="I695" s="1" t="s">
        <v>395</v>
      </c>
      <c r="J695" s="1" t="s">
        <v>16</v>
      </c>
      <c r="K695" s="1" t="s">
        <v>1613</v>
      </c>
      <c r="L695" s="1" t="s">
        <v>1347</v>
      </c>
      <c r="M695">
        <f t="shared" si="70"/>
        <v>289.72000000000003</v>
      </c>
      <c r="N695" t="str">
        <f t="shared" si="71"/>
        <v>1957-10-24</v>
      </c>
      <c r="O695">
        <f t="shared" si="72"/>
        <v>54</v>
      </c>
      <c r="P695" t="str">
        <f t="shared" si="73"/>
        <v>kobieta</v>
      </c>
      <c r="Q695">
        <f t="shared" si="74"/>
        <v>14</v>
      </c>
      <c r="R695">
        <f t="shared" si="75"/>
        <v>48</v>
      </c>
      <c r="S695">
        <f t="shared" ca="1" si="76"/>
        <v>1</v>
      </c>
    </row>
    <row r="696" spans="1:19">
      <c r="A696" s="1" t="s">
        <v>12</v>
      </c>
      <c r="B696" s="2">
        <v>400</v>
      </c>
      <c r="C696" s="1">
        <v>400</v>
      </c>
      <c r="D696" s="1" t="s">
        <v>1121</v>
      </c>
      <c r="E696" s="1">
        <v>13</v>
      </c>
      <c r="F696" s="3">
        <v>1137.19</v>
      </c>
      <c r="G696" s="1">
        <v>6</v>
      </c>
      <c r="H696" s="1" t="s">
        <v>1653</v>
      </c>
      <c r="I696" s="1" t="s">
        <v>772</v>
      </c>
      <c r="J696" s="1" t="s">
        <v>16</v>
      </c>
      <c r="K696" s="1" t="s">
        <v>1654</v>
      </c>
      <c r="L696" s="1" t="s">
        <v>1518</v>
      </c>
      <c r="M696">
        <f t="shared" si="70"/>
        <v>400</v>
      </c>
      <c r="N696" t="str">
        <f t="shared" si="71"/>
        <v>1945-02-15</v>
      </c>
      <c r="O696">
        <f t="shared" si="72"/>
        <v>66</v>
      </c>
      <c r="P696" t="str">
        <f t="shared" si="73"/>
        <v>kobieta</v>
      </c>
      <c r="Q696">
        <f t="shared" si="74"/>
        <v>98</v>
      </c>
      <c r="R696">
        <f t="shared" si="75"/>
        <v>48</v>
      </c>
      <c r="S696">
        <f t="shared" ca="1" si="76"/>
        <v>1</v>
      </c>
    </row>
    <row r="697" spans="1:19">
      <c r="A697" s="1" t="s">
        <v>19</v>
      </c>
      <c r="B697" s="2">
        <v>430</v>
      </c>
      <c r="C697" s="1">
        <v>430</v>
      </c>
      <c r="D697" s="1" t="s">
        <v>955</v>
      </c>
      <c r="E697" s="1">
        <v>11</v>
      </c>
      <c r="F697" s="3">
        <v>2470</v>
      </c>
      <c r="G697" s="1">
        <v>3</v>
      </c>
      <c r="H697" s="1" t="s">
        <v>1655</v>
      </c>
      <c r="I697" s="1" t="s">
        <v>957</v>
      </c>
      <c r="J697" s="1" t="s">
        <v>16</v>
      </c>
      <c r="K697" s="1" t="s">
        <v>1654</v>
      </c>
      <c r="L697" s="1" t="s">
        <v>1580</v>
      </c>
      <c r="M697">
        <f t="shared" si="70"/>
        <v>430</v>
      </c>
      <c r="N697" t="str">
        <f t="shared" si="71"/>
        <v>1973-03-26</v>
      </c>
      <c r="O697">
        <f t="shared" si="72"/>
        <v>38</v>
      </c>
      <c r="P697" t="str">
        <f t="shared" si="73"/>
        <v>mężczyzna</v>
      </c>
      <c r="Q697">
        <f t="shared" si="74"/>
        <v>68</v>
      </c>
      <c r="R697">
        <f t="shared" si="75"/>
        <v>48</v>
      </c>
      <c r="S697">
        <f t="shared" ca="1" si="76"/>
        <v>5</v>
      </c>
    </row>
    <row r="698" spans="1:19">
      <c r="A698" s="1" t="s">
        <v>19</v>
      </c>
      <c r="B698" s="2">
        <v>300</v>
      </c>
      <c r="C698" s="1">
        <v>300</v>
      </c>
      <c r="D698" s="1" t="s">
        <v>536</v>
      </c>
      <c r="E698" s="1">
        <v>13</v>
      </c>
      <c r="F698" s="3">
        <v>2110</v>
      </c>
      <c r="G698" s="1">
        <v>0</v>
      </c>
      <c r="H698" s="1" t="s">
        <v>1656</v>
      </c>
      <c r="I698" s="1" t="s">
        <v>538</v>
      </c>
      <c r="J698" s="1" t="s">
        <v>16</v>
      </c>
      <c r="K698" s="1" t="s">
        <v>1654</v>
      </c>
      <c r="L698" s="1" t="s">
        <v>1580</v>
      </c>
      <c r="M698">
        <f t="shared" si="70"/>
        <v>300</v>
      </c>
      <c r="N698" t="str">
        <f t="shared" si="71"/>
        <v>1945-12-02</v>
      </c>
      <c r="O698">
        <f t="shared" si="72"/>
        <v>66</v>
      </c>
      <c r="P698" t="str">
        <f t="shared" si="73"/>
        <v>mężczyzna</v>
      </c>
      <c r="Q698">
        <f t="shared" si="74"/>
        <v>103</v>
      </c>
      <c r="R698">
        <f t="shared" si="75"/>
        <v>48</v>
      </c>
      <c r="S698">
        <f t="shared" ca="1" si="76"/>
        <v>5</v>
      </c>
    </row>
    <row r="699" spans="1:19">
      <c r="A699" s="1" t="s">
        <v>19</v>
      </c>
      <c r="B699" s="2">
        <v>400</v>
      </c>
      <c r="C699" s="1">
        <v>300</v>
      </c>
      <c r="D699" s="1" t="s">
        <v>44</v>
      </c>
      <c r="E699" s="1">
        <v>17</v>
      </c>
      <c r="F699" s="3">
        <v>864.6</v>
      </c>
      <c r="G699" s="1">
        <v>0</v>
      </c>
      <c r="H699" s="1" t="s">
        <v>1657</v>
      </c>
      <c r="I699" s="1" t="s">
        <v>46</v>
      </c>
      <c r="J699" s="1" t="s">
        <v>47</v>
      </c>
      <c r="K699" s="1" t="s">
        <v>1654</v>
      </c>
      <c r="L699" s="1" t="s">
        <v>1457</v>
      </c>
      <c r="M699">
        <f t="shared" si="70"/>
        <v>300</v>
      </c>
      <c r="N699" t="str">
        <f t="shared" si="71"/>
        <v>1957-12-19</v>
      </c>
      <c r="O699">
        <f t="shared" si="72"/>
        <v>54</v>
      </c>
      <c r="P699" t="str">
        <f t="shared" si="73"/>
        <v>kobieta</v>
      </c>
      <c r="Q699">
        <f t="shared" si="74"/>
        <v>4</v>
      </c>
      <c r="R699">
        <f t="shared" si="75"/>
        <v>3</v>
      </c>
      <c r="S699">
        <f t="shared" ca="1" si="76"/>
        <v>0</v>
      </c>
    </row>
    <row r="700" spans="1:19">
      <c r="A700" s="1" t="s">
        <v>12</v>
      </c>
      <c r="B700" s="2">
        <v>400</v>
      </c>
      <c r="C700" s="1">
        <v>400</v>
      </c>
      <c r="D700" s="1" t="s">
        <v>1068</v>
      </c>
      <c r="E700" s="1">
        <v>13</v>
      </c>
      <c r="F700" s="3">
        <v>1213</v>
      </c>
      <c r="G700" s="1">
        <v>1</v>
      </c>
      <c r="H700" s="1" t="s">
        <v>1658</v>
      </c>
      <c r="I700" s="1" t="s">
        <v>1070</v>
      </c>
      <c r="J700" s="1" t="s">
        <v>16</v>
      </c>
      <c r="K700" s="1" t="s">
        <v>1654</v>
      </c>
      <c r="L700" s="1" t="s">
        <v>1528</v>
      </c>
      <c r="M700">
        <f t="shared" si="70"/>
        <v>400</v>
      </c>
      <c r="N700" t="str">
        <f t="shared" si="71"/>
        <v>1958-08-05</v>
      </c>
      <c r="O700">
        <f t="shared" si="72"/>
        <v>53</v>
      </c>
      <c r="P700" t="str">
        <f t="shared" si="73"/>
        <v>kobieta</v>
      </c>
      <c r="Q700">
        <f t="shared" si="74"/>
        <v>52</v>
      </c>
      <c r="R700">
        <f t="shared" si="75"/>
        <v>48</v>
      </c>
      <c r="S700">
        <f t="shared" ca="1" si="76"/>
        <v>14</v>
      </c>
    </row>
    <row r="701" spans="1:19">
      <c r="A701" s="1" t="s">
        <v>24</v>
      </c>
      <c r="B701" s="2">
        <v>500</v>
      </c>
      <c r="C701" s="1">
        <v>0</v>
      </c>
      <c r="D701" s="1" t="s">
        <v>1659</v>
      </c>
      <c r="E701" s="1">
        <v>13</v>
      </c>
      <c r="F701" s="3">
        <v>1253</v>
      </c>
      <c r="G701" s="1">
        <v>0</v>
      </c>
      <c r="H701" s="1" t="s">
        <v>1660</v>
      </c>
      <c r="I701" s="1" t="s">
        <v>1661</v>
      </c>
      <c r="J701" s="1" t="s">
        <v>16</v>
      </c>
      <c r="K701" s="1" t="s">
        <v>16</v>
      </c>
      <c r="L701" s="1" t="s">
        <v>28</v>
      </c>
      <c r="M701">
        <f t="shared" si="70"/>
        <v>500</v>
      </c>
      <c r="N701" t="str">
        <f t="shared" si="71"/>
        <v>1936-03-06</v>
      </c>
      <c r="O701">
        <f t="shared" si="72"/>
        <v>75</v>
      </c>
      <c r="P701" t="str">
        <f t="shared" si="73"/>
        <v>kobieta</v>
      </c>
      <c r="Q701">
        <f t="shared" si="74"/>
        <v>240</v>
      </c>
      <c r="R701">
        <f t="shared" si="75"/>
        <v>48</v>
      </c>
      <c r="S701">
        <f t="shared" ca="1" si="76"/>
        <v>0</v>
      </c>
    </row>
    <row r="702" spans="1:19">
      <c r="A702" s="1" t="s">
        <v>56</v>
      </c>
      <c r="B702" s="2">
        <v>200</v>
      </c>
      <c r="C702" s="1">
        <v>200</v>
      </c>
      <c r="D702" s="1" t="s">
        <v>788</v>
      </c>
      <c r="E702" s="1">
        <v>11</v>
      </c>
      <c r="F702" s="3">
        <v>983.97</v>
      </c>
      <c r="G702" s="1">
        <v>0</v>
      </c>
      <c r="H702" s="1" t="s">
        <v>1662</v>
      </c>
      <c r="I702" s="1" t="s">
        <v>790</v>
      </c>
      <c r="J702" s="1" t="s">
        <v>16</v>
      </c>
      <c r="K702" s="1" t="s">
        <v>1654</v>
      </c>
      <c r="L702" s="1" t="s">
        <v>28</v>
      </c>
      <c r="M702">
        <f t="shared" si="70"/>
        <v>200</v>
      </c>
      <c r="N702" t="str">
        <f t="shared" si="71"/>
        <v>1954-11-09</v>
      </c>
      <c r="O702">
        <f t="shared" si="72"/>
        <v>57</v>
      </c>
      <c r="P702" t="str">
        <f t="shared" si="73"/>
        <v>kobieta</v>
      </c>
      <c r="Q702">
        <f t="shared" si="74"/>
        <v>80</v>
      </c>
      <c r="R702">
        <f t="shared" si="75"/>
        <v>48</v>
      </c>
      <c r="S702">
        <f t="shared" ca="1" si="76"/>
        <v>5214</v>
      </c>
    </row>
    <row r="703" spans="1:19">
      <c r="A703" s="1" t="s">
        <v>19</v>
      </c>
      <c r="B703" s="2">
        <v>550</v>
      </c>
      <c r="C703" s="1">
        <v>550</v>
      </c>
      <c r="D703" s="1" t="s">
        <v>1017</v>
      </c>
      <c r="E703" s="1">
        <v>12</v>
      </c>
      <c r="F703" s="3">
        <v>1675</v>
      </c>
      <c r="G703" s="1">
        <v>6</v>
      </c>
      <c r="H703" s="1" t="s">
        <v>1663</v>
      </c>
      <c r="I703" s="1" t="s">
        <v>717</v>
      </c>
      <c r="J703" s="1" t="s">
        <v>63</v>
      </c>
      <c r="K703" s="1" t="s">
        <v>1654</v>
      </c>
      <c r="L703" s="1" t="s">
        <v>1518</v>
      </c>
      <c r="M703">
        <f t="shared" si="70"/>
        <v>550</v>
      </c>
      <c r="N703" t="str">
        <f t="shared" si="71"/>
        <v>1957-09-29</v>
      </c>
      <c r="O703">
        <f t="shared" si="72"/>
        <v>54</v>
      </c>
      <c r="P703" t="str">
        <f t="shared" si="73"/>
        <v>kobieta</v>
      </c>
      <c r="Q703">
        <f t="shared" si="74"/>
        <v>11</v>
      </c>
      <c r="R703">
        <f t="shared" si="75"/>
        <v>0</v>
      </c>
      <c r="S703">
        <f t="shared" ca="1" si="76"/>
        <v>1</v>
      </c>
    </row>
    <row r="704" spans="1:19">
      <c r="A704" s="1" t="s">
        <v>12</v>
      </c>
      <c r="B704" s="2">
        <v>500</v>
      </c>
      <c r="C704" s="1">
        <v>500</v>
      </c>
      <c r="D704" s="1" t="s">
        <v>1664</v>
      </c>
      <c r="E704" s="1">
        <v>13</v>
      </c>
      <c r="F704" s="3">
        <v>2609</v>
      </c>
      <c r="G704" s="1">
        <v>0</v>
      </c>
      <c r="H704" s="1" t="s">
        <v>1665</v>
      </c>
      <c r="I704" s="1" t="s">
        <v>1666</v>
      </c>
      <c r="J704" s="1" t="s">
        <v>16</v>
      </c>
      <c r="K704" s="1" t="s">
        <v>1654</v>
      </c>
      <c r="L704" s="1" t="s">
        <v>1457</v>
      </c>
      <c r="M704">
        <f t="shared" si="70"/>
        <v>500</v>
      </c>
      <c r="N704" t="str">
        <f t="shared" si="71"/>
        <v>1934-01-04</v>
      </c>
      <c r="O704">
        <f t="shared" si="72"/>
        <v>77</v>
      </c>
      <c r="P704" t="str">
        <f t="shared" si="73"/>
        <v>mężczyzna</v>
      </c>
      <c r="Q704">
        <f t="shared" si="74"/>
        <v>193</v>
      </c>
      <c r="R704">
        <f t="shared" si="75"/>
        <v>48</v>
      </c>
      <c r="S704">
        <f t="shared" ca="1" si="76"/>
        <v>0</v>
      </c>
    </row>
    <row r="705" spans="1:19">
      <c r="A705" s="1" t="s">
        <v>12</v>
      </c>
      <c r="B705" s="2">
        <v>400</v>
      </c>
      <c r="C705" s="1">
        <v>400</v>
      </c>
      <c r="D705" s="1" t="s">
        <v>492</v>
      </c>
      <c r="E705" s="1">
        <v>13</v>
      </c>
      <c r="F705" s="3">
        <v>1425</v>
      </c>
      <c r="G705" s="1">
        <v>0</v>
      </c>
      <c r="H705" s="1" t="s">
        <v>1667</v>
      </c>
      <c r="I705" s="1" t="s">
        <v>66</v>
      </c>
      <c r="J705" s="1" t="s">
        <v>16</v>
      </c>
      <c r="K705" s="1" t="s">
        <v>1654</v>
      </c>
      <c r="L705" s="1" t="s">
        <v>1267</v>
      </c>
      <c r="M705">
        <f t="shared" si="70"/>
        <v>400</v>
      </c>
      <c r="N705" t="str">
        <f t="shared" si="71"/>
        <v>1951-06-22</v>
      </c>
      <c r="O705">
        <f t="shared" si="72"/>
        <v>60</v>
      </c>
      <c r="P705" t="str">
        <f t="shared" si="73"/>
        <v>kobieta</v>
      </c>
      <c r="Q705">
        <f t="shared" si="74"/>
        <v>81</v>
      </c>
      <c r="R705">
        <f t="shared" si="75"/>
        <v>48</v>
      </c>
      <c r="S705">
        <f t="shared" ca="1" si="76"/>
        <v>0</v>
      </c>
    </row>
    <row r="706" spans="1:19">
      <c r="A706" s="1" t="s">
        <v>19</v>
      </c>
      <c r="B706" s="2">
        <v>465.37</v>
      </c>
      <c r="C706" s="1">
        <v>465.37</v>
      </c>
      <c r="D706" s="1" t="s">
        <v>848</v>
      </c>
      <c r="E706" s="1">
        <v>98</v>
      </c>
      <c r="F706" s="3">
        <v>4000</v>
      </c>
      <c r="G706" s="1">
        <v>6</v>
      </c>
      <c r="H706" s="1" t="s">
        <v>1668</v>
      </c>
      <c r="I706" s="1" t="s">
        <v>850</v>
      </c>
      <c r="J706" s="1" t="s">
        <v>16</v>
      </c>
      <c r="K706" s="1" t="s">
        <v>1654</v>
      </c>
      <c r="L706" s="1" t="s">
        <v>1669</v>
      </c>
      <c r="M706">
        <f t="shared" si="70"/>
        <v>465.37</v>
      </c>
      <c r="N706" t="str">
        <f t="shared" si="71"/>
        <v>1976-01-19</v>
      </c>
      <c r="O706">
        <f t="shared" si="72"/>
        <v>35</v>
      </c>
      <c r="P706" t="str">
        <f t="shared" si="73"/>
        <v>kobieta</v>
      </c>
      <c r="Q706">
        <f t="shared" si="74"/>
        <v>21</v>
      </c>
      <c r="R706">
        <f t="shared" si="75"/>
        <v>48</v>
      </c>
      <c r="S706">
        <f t="shared" ca="1" si="76"/>
        <v>2</v>
      </c>
    </row>
    <row r="707" spans="1:19">
      <c r="A707" s="1" t="s">
        <v>19</v>
      </c>
      <c r="B707" s="2">
        <v>530</v>
      </c>
      <c r="C707" s="1">
        <v>530</v>
      </c>
      <c r="D707" s="1" t="s">
        <v>926</v>
      </c>
      <c r="E707" s="1">
        <v>11</v>
      </c>
      <c r="F707" s="3">
        <v>2050</v>
      </c>
      <c r="G707" s="1">
        <v>1</v>
      </c>
      <c r="H707" s="1" t="s">
        <v>1670</v>
      </c>
      <c r="I707" s="1" t="s">
        <v>928</v>
      </c>
      <c r="J707" s="1" t="s">
        <v>16</v>
      </c>
      <c r="K707" s="1" t="s">
        <v>1654</v>
      </c>
      <c r="L707" s="1" t="s">
        <v>1580</v>
      </c>
      <c r="M707">
        <f t="shared" ref="M707:M770" si="77">IF(A707="odmowa", B707,C707)</f>
        <v>530</v>
      </c>
      <c r="N707" t="str">
        <f t="shared" ref="N707:N770" si="78">CONCATENATE("19", MID(D707, 1, 2), "-", MID(D707, 3, 2), "-", MID(D707, 5, 2))</f>
        <v>1979-02-13</v>
      </c>
      <c r="O707">
        <f t="shared" ref="O707:O770" si="79">YEAR(H707) - YEAR(N707)</f>
        <v>32</v>
      </c>
      <c r="P707" t="str">
        <f t="shared" ref="P707:P770" si="80">IF(MOD(MID(D707, 10, 1), 2)=0, "kobieta", "mężczyzna")</f>
        <v>mężczyzna</v>
      </c>
      <c r="Q707">
        <f t="shared" ref="Q707:Q770" si="81">(YEAR(H707) - YEAR(I707)) * 12 + MONTH(H707) - MONTH(I707)</f>
        <v>120</v>
      </c>
      <c r="R707">
        <f t="shared" ref="R707:R770" si="82">IF(LEFT(J707, 4)="0000", 48, MIN(48, (YEAR(J707) - YEAR(H707)) * 12 + MONTH(J707) - MONTH(H707)))</f>
        <v>48</v>
      </c>
      <c r="S707">
        <f t="shared" ref="S707:S770" ca="1" si="83">IF(LEFT(K707, 4)="0000", 0, IF(LEFT(L707, 4)="0000", MAX(0, TODAY() - K707), MAX(0, L707 - K707)))</f>
        <v>5</v>
      </c>
    </row>
    <row r="708" spans="1:19">
      <c r="A708" s="1" t="s">
        <v>19</v>
      </c>
      <c r="B708" s="2">
        <v>300</v>
      </c>
      <c r="C708" s="1">
        <v>300</v>
      </c>
      <c r="D708" s="1" t="s">
        <v>1073</v>
      </c>
      <c r="E708" s="1">
        <v>11</v>
      </c>
      <c r="F708" s="3">
        <v>1800</v>
      </c>
      <c r="G708" s="1">
        <v>6</v>
      </c>
      <c r="H708" s="1" t="s">
        <v>1671</v>
      </c>
      <c r="I708" s="1" t="s">
        <v>706</v>
      </c>
      <c r="J708" s="1" t="s">
        <v>16</v>
      </c>
      <c r="K708" s="1" t="s">
        <v>1654</v>
      </c>
      <c r="L708" s="1" t="s">
        <v>1347</v>
      </c>
      <c r="M708">
        <f t="shared" si="77"/>
        <v>300</v>
      </c>
      <c r="N708" t="str">
        <f t="shared" si="78"/>
        <v>1978-06-03</v>
      </c>
      <c r="O708">
        <f t="shared" si="79"/>
        <v>33</v>
      </c>
      <c r="P708" t="str">
        <f t="shared" si="80"/>
        <v>mężczyzna</v>
      </c>
      <c r="Q708">
        <f t="shared" si="81"/>
        <v>167</v>
      </c>
      <c r="R708">
        <f t="shared" si="82"/>
        <v>48</v>
      </c>
      <c r="S708">
        <f t="shared" ca="1" si="83"/>
        <v>0</v>
      </c>
    </row>
    <row r="709" spans="1:19">
      <c r="A709" s="1" t="s">
        <v>19</v>
      </c>
      <c r="B709" s="2">
        <v>400</v>
      </c>
      <c r="C709" s="1">
        <v>400</v>
      </c>
      <c r="D709" s="1" t="s">
        <v>628</v>
      </c>
      <c r="E709" s="1">
        <v>12</v>
      </c>
      <c r="F709" s="3">
        <v>1000</v>
      </c>
      <c r="G709" s="1">
        <v>0</v>
      </c>
      <c r="H709" s="1" t="s">
        <v>1672</v>
      </c>
      <c r="I709" s="1" t="s">
        <v>630</v>
      </c>
      <c r="J709" s="1" t="s">
        <v>631</v>
      </c>
      <c r="K709" s="1" t="s">
        <v>1654</v>
      </c>
      <c r="L709" s="1" t="s">
        <v>1518</v>
      </c>
      <c r="M709">
        <f t="shared" si="77"/>
        <v>400</v>
      </c>
      <c r="N709" t="str">
        <f t="shared" si="78"/>
        <v>1957-02-18</v>
      </c>
      <c r="O709">
        <f t="shared" si="79"/>
        <v>54</v>
      </c>
      <c r="P709" t="str">
        <f t="shared" si="80"/>
        <v>kobieta</v>
      </c>
      <c r="Q709">
        <f t="shared" si="81"/>
        <v>47</v>
      </c>
      <c r="R709">
        <f t="shared" si="82"/>
        <v>22</v>
      </c>
      <c r="S709">
        <f t="shared" ca="1" si="83"/>
        <v>1</v>
      </c>
    </row>
    <row r="710" spans="1:19">
      <c r="A710" s="1" t="s">
        <v>309</v>
      </c>
      <c r="B710" s="2">
        <v>292.27999999999997</v>
      </c>
      <c r="C710" s="1">
        <v>292.27999999999997</v>
      </c>
      <c r="D710" s="1" t="s">
        <v>654</v>
      </c>
      <c r="E710" s="1">
        <v>13</v>
      </c>
      <c r="F710" s="3">
        <v>1244.77</v>
      </c>
      <c r="G710" s="1">
        <v>0</v>
      </c>
      <c r="H710" s="1" t="s">
        <v>1673</v>
      </c>
      <c r="I710" s="1" t="s">
        <v>93</v>
      </c>
      <c r="J710" s="1" t="s">
        <v>16</v>
      </c>
      <c r="K710" s="1" t="s">
        <v>1654</v>
      </c>
      <c r="L710" s="1" t="s">
        <v>1674</v>
      </c>
      <c r="M710">
        <f t="shared" si="77"/>
        <v>292.27999999999997</v>
      </c>
      <c r="N710" t="str">
        <f t="shared" si="78"/>
        <v>1953-02-03</v>
      </c>
      <c r="O710">
        <f t="shared" si="79"/>
        <v>58</v>
      </c>
      <c r="P710" t="str">
        <f t="shared" si="80"/>
        <v>kobieta</v>
      </c>
      <c r="Q710">
        <f t="shared" si="81"/>
        <v>41</v>
      </c>
      <c r="R710">
        <f t="shared" si="82"/>
        <v>48</v>
      </c>
      <c r="S710">
        <f t="shared" ca="1" si="83"/>
        <v>294</v>
      </c>
    </row>
    <row r="711" spans="1:19">
      <c r="A711" s="1" t="s">
        <v>19</v>
      </c>
      <c r="B711" s="2">
        <v>1000</v>
      </c>
      <c r="C711" s="1">
        <v>600</v>
      </c>
      <c r="D711" s="1" t="s">
        <v>1083</v>
      </c>
      <c r="E711" s="1">
        <v>12</v>
      </c>
      <c r="F711" s="3">
        <v>1350</v>
      </c>
      <c r="G711" s="1">
        <v>0</v>
      </c>
      <c r="H711" s="1" t="s">
        <v>1675</v>
      </c>
      <c r="I711" s="1" t="s">
        <v>1085</v>
      </c>
      <c r="J711" s="1" t="s">
        <v>63</v>
      </c>
      <c r="K711" s="1" t="s">
        <v>1654</v>
      </c>
      <c r="L711" s="1" t="s">
        <v>1518</v>
      </c>
      <c r="M711">
        <f t="shared" si="77"/>
        <v>600</v>
      </c>
      <c r="N711" t="str">
        <f t="shared" si="78"/>
        <v>1956-03-10</v>
      </c>
      <c r="O711">
        <f t="shared" si="79"/>
        <v>55</v>
      </c>
      <c r="P711" t="str">
        <f t="shared" si="80"/>
        <v>kobieta</v>
      </c>
      <c r="Q711">
        <f t="shared" si="81"/>
        <v>24</v>
      </c>
      <c r="R711">
        <f t="shared" si="82"/>
        <v>0</v>
      </c>
      <c r="S711">
        <f t="shared" ca="1" si="83"/>
        <v>1</v>
      </c>
    </row>
    <row r="712" spans="1:19">
      <c r="A712" s="1" t="s">
        <v>19</v>
      </c>
      <c r="B712" s="2">
        <v>400</v>
      </c>
      <c r="C712" s="1">
        <v>200</v>
      </c>
      <c r="D712" s="1" t="s">
        <v>1676</v>
      </c>
      <c r="E712" s="1">
        <v>11</v>
      </c>
      <c r="F712" s="3">
        <v>2000</v>
      </c>
      <c r="G712" s="1">
        <v>0</v>
      </c>
      <c r="H712" s="1" t="s">
        <v>1677</v>
      </c>
      <c r="I712" s="1" t="s">
        <v>1678</v>
      </c>
      <c r="J712" s="1" t="s">
        <v>16</v>
      </c>
      <c r="K712" s="1" t="s">
        <v>1654</v>
      </c>
      <c r="L712" s="1" t="s">
        <v>1457</v>
      </c>
      <c r="M712">
        <f t="shared" si="77"/>
        <v>200</v>
      </c>
      <c r="N712" t="str">
        <f t="shared" si="78"/>
        <v>1980-12-29</v>
      </c>
      <c r="O712">
        <f t="shared" si="79"/>
        <v>31</v>
      </c>
      <c r="P712" t="str">
        <f t="shared" si="80"/>
        <v>mężczyzna</v>
      </c>
      <c r="Q712">
        <f t="shared" si="81"/>
        <v>7</v>
      </c>
      <c r="R712">
        <f t="shared" si="82"/>
        <v>48</v>
      </c>
      <c r="S712">
        <f t="shared" ca="1" si="83"/>
        <v>0</v>
      </c>
    </row>
    <row r="713" spans="1:19">
      <c r="A713" s="1" t="s">
        <v>19</v>
      </c>
      <c r="B713" s="2">
        <v>1000</v>
      </c>
      <c r="C713" s="1">
        <v>1000</v>
      </c>
      <c r="D713" s="1" t="s">
        <v>1091</v>
      </c>
      <c r="E713" s="1">
        <v>11</v>
      </c>
      <c r="F713" s="3">
        <v>5800</v>
      </c>
      <c r="G713" s="1">
        <v>6</v>
      </c>
      <c r="H713" s="1" t="s">
        <v>1679</v>
      </c>
      <c r="I713" s="1" t="s">
        <v>1093</v>
      </c>
      <c r="J713" s="1" t="s">
        <v>16</v>
      </c>
      <c r="K713" s="1" t="s">
        <v>1654</v>
      </c>
      <c r="L713" s="1" t="s">
        <v>1592</v>
      </c>
      <c r="M713">
        <f t="shared" si="77"/>
        <v>1000</v>
      </c>
      <c r="N713" t="str">
        <f t="shared" si="78"/>
        <v>1964-04-01</v>
      </c>
      <c r="O713">
        <f t="shared" si="79"/>
        <v>47</v>
      </c>
      <c r="P713" t="str">
        <f t="shared" si="80"/>
        <v>kobieta</v>
      </c>
      <c r="Q713">
        <f t="shared" si="81"/>
        <v>56</v>
      </c>
      <c r="R713">
        <f t="shared" si="82"/>
        <v>48</v>
      </c>
      <c r="S713">
        <f t="shared" ca="1" si="83"/>
        <v>3</v>
      </c>
    </row>
    <row r="714" spans="1:19">
      <c r="A714" s="1" t="s">
        <v>24</v>
      </c>
      <c r="B714" s="2">
        <v>500</v>
      </c>
      <c r="C714" s="1">
        <v>0</v>
      </c>
      <c r="D714" s="1" t="s">
        <v>1680</v>
      </c>
      <c r="E714" s="1">
        <v>11</v>
      </c>
      <c r="F714" s="3">
        <v>1414</v>
      </c>
      <c r="G714" s="1">
        <v>0</v>
      </c>
      <c r="H714" s="1" t="s">
        <v>1681</v>
      </c>
      <c r="I714" s="1" t="s">
        <v>583</v>
      </c>
      <c r="J714" s="1" t="s">
        <v>16</v>
      </c>
      <c r="K714" s="1" t="s">
        <v>16</v>
      </c>
      <c r="L714" s="1" t="s">
        <v>28</v>
      </c>
      <c r="M714">
        <f t="shared" si="77"/>
        <v>500</v>
      </c>
      <c r="N714" t="str">
        <f t="shared" si="78"/>
        <v>1963-09-13</v>
      </c>
      <c r="O714">
        <f t="shared" si="79"/>
        <v>48</v>
      </c>
      <c r="P714" t="str">
        <f t="shared" si="80"/>
        <v>kobieta</v>
      </c>
      <c r="Q714">
        <f t="shared" si="81"/>
        <v>9</v>
      </c>
      <c r="R714">
        <f t="shared" si="82"/>
        <v>48</v>
      </c>
      <c r="S714">
        <f t="shared" ca="1" si="83"/>
        <v>0</v>
      </c>
    </row>
    <row r="715" spans="1:19">
      <c r="A715" s="1" t="s">
        <v>19</v>
      </c>
      <c r="B715" s="2">
        <v>248.57</v>
      </c>
      <c r="C715" s="1">
        <v>248.57</v>
      </c>
      <c r="D715" s="1" t="s">
        <v>1151</v>
      </c>
      <c r="E715" s="1">
        <v>13</v>
      </c>
      <c r="F715" s="3">
        <v>1559</v>
      </c>
      <c r="G715" s="1">
        <v>1</v>
      </c>
      <c r="H715" s="1" t="s">
        <v>1682</v>
      </c>
      <c r="I715" s="1" t="s">
        <v>230</v>
      </c>
      <c r="J715" s="1" t="s">
        <v>16</v>
      </c>
      <c r="K715" s="1" t="s">
        <v>1683</v>
      </c>
      <c r="L715" s="1" t="s">
        <v>1669</v>
      </c>
      <c r="M715">
        <f t="shared" si="77"/>
        <v>248.57</v>
      </c>
      <c r="N715" t="str">
        <f t="shared" si="78"/>
        <v>1946-01-18</v>
      </c>
      <c r="O715">
        <f t="shared" si="79"/>
        <v>65</v>
      </c>
      <c r="P715" t="str">
        <f t="shared" si="80"/>
        <v>mężczyzna</v>
      </c>
      <c r="Q715">
        <f t="shared" si="81"/>
        <v>73</v>
      </c>
      <c r="R715">
        <f t="shared" si="82"/>
        <v>48</v>
      </c>
      <c r="S715">
        <f t="shared" ca="1" si="83"/>
        <v>1</v>
      </c>
    </row>
    <row r="716" spans="1:19">
      <c r="A716" s="1" t="s">
        <v>19</v>
      </c>
      <c r="B716" s="2">
        <v>1000</v>
      </c>
      <c r="C716" s="1">
        <v>600</v>
      </c>
      <c r="D716" s="1" t="s">
        <v>1684</v>
      </c>
      <c r="E716" s="1">
        <v>13</v>
      </c>
      <c r="F716" s="3">
        <v>2534</v>
      </c>
      <c r="G716" s="1">
        <v>0</v>
      </c>
      <c r="H716" s="1" t="s">
        <v>1685</v>
      </c>
      <c r="I716" s="1" t="s">
        <v>1686</v>
      </c>
      <c r="J716" s="1" t="s">
        <v>16</v>
      </c>
      <c r="K716" s="1" t="s">
        <v>1683</v>
      </c>
      <c r="L716" s="1" t="s">
        <v>1457</v>
      </c>
      <c r="M716">
        <f t="shared" si="77"/>
        <v>600</v>
      </c>
      <c r="N716" t="str">
        <f t="shared" si="78"/>
        <v>1939-11-15</v>
      </c>
      <c r="O716">
        <f t="shared" si="79"/>
        <v>72</v>
      </c>
      <c r="P716" t="str">
        <f t="shared" si="80"/>
        <v>kobieta</v>
      </c>
      <c r="Q716">
        <f t="shared" si="81"/>
        <v>129</v>
      </c>
      <c r="R716">
        <f t="shared" si="82"/>
        <v>48</v>
      </c>
      <c r="S716">
        <f t="shared" ca="1" si="83"/>
        <v>0</v>
      </c>
    </row>
    <row r="717" spans="1:19">
      <c r="A717" s="1" t="s">
        <v>24</v>
      </c>
      <c r="B717" s="2">
        <v>200</v>
      </c>
      <c r="C717" s="1">
        <v>0</v>
      </c>
      <c r="D717" s="1" t="s">
        <v>1687</v>
      </c>
      <c r="E717" s="1">
        <v>16</v>
      </c>
      <c r="F717" s="3">
        <v>387</v>
      </c>
      <c r="G717" s="1">
        <v>0</v>
      </c>
      <c r="H717" s="1" t="s">
        <v>1688</v>
      </c>
      <c r="I717" s="1" t="s">
        <v>717</v>
      </c>
      <c r="J717" s="1" t="s">
        <v>16</v>
      </c>
      <c r="K717" s="1" t="s">
        <v>16</v>
      </c>
      <c r="L717" s="1" t="s">
        <v>28</v>
      </c>
      <c r="M717">
        <f t="shared" si="77"/>
        <v>200</v>
      </c>
      <c r="N717" t="str">
        <f t="shared" si="78"/>
        <v>1982-03-06</v>
      </c>
      <c r="O717">
        <f t="shared" si="79"/>
        <v>29</v>
      </c>
      <c r="P717" t="str">
        <f t="shared" si="80"/>
        <v>kobieta</v>
      </c>
      <c r="Q717">
        <f t="shared" si="81"/>
        <v>11</v>
      </c>
      <c r="R717">
        <f t="shared" si="82"/>
        <v>48</v>
      </c>
      <c r="S717">
        <f t="shared" ca="1" si="83"/>
        <v>0</v>
      </c>
    </row>
    <row r="718" spans="1:19">
      <c r="A718" s="1" t="s">
        <v>19</v>
      </c>
      <c r="B718" s="2">
        <v>200</v>
      </c>
      <c r="C718" s="1">
        <v>200</v>
      </c>
      <c r="D718" s="1" t="s">
        <v>78</v>
      </c>
      <c r="E718" s="1">
        <v>13</v>
      </c>
      <c r="F718" s="3">
        <v>730</v>
      </c>
      <c r="G718" s="1">
        <v>5</v>
      </c>
      <c r="H718" s="1" t="s">
        <v>1689</v>
      </c>
      <c r="I718" s="1" t="s">
        <v>80</v>
      </c>
      <c r="J718" s="1" t="s">
        <v>16</v>
      </c>
      <c r="K718" s="1" t="s">
        <v>1683</v>
      </c>
      <c r="L718" s="1" t="s">
        <v>1669</v>
      </c>
      <c r="M718">
        <f t="shared" si="77"/>
        <v>200</v>
      </c>
      <c r="N718" t="str">
        <f t="shared" si="78"/>
        <v>1939-08-25</v>
      </c>
      <c r="O718">
        <f t="shared" si="79"/>
        <v>72</v>
      </c>
      <c r="P718" t="str">
        <f t="shared" si="80"/>
        <v>kobieta</v>
      </c>
      <c r="Q718">
        <f t="shared" si="81"/>
        <v>563</v>
      </c>
      <c r="R718">
        <f t="shared" si="82"/>
        <v>48</v>
      </c>
      <c r="S718">
        <f t="shared" ca="1" si="83"/>
        <v>1</v>
      </c>
    </row>
    <row r="719" spans="1:19">
      <c r="A719" s="1" t="s">
        <v>19</v>
      </c>
      <c r="B719" s="2">
        <v>700</v>
      </c>
      <c r="C719" s="1">
        <v>500</v>
      </c>
      <c r="D719" s="1" t="s">
        <v>658</v>
      </c>
      <c r="E719" s="1">
        <v>11</v>
      </c>
      <c r="F719" s="3">
        <v>2011</v>
      </c>
      <c r="G719" s="1">
        <v>0</v>
      </c>
      <c r="H719" s="1" t="s">
        <v>1690</v>
      </c>
      <c r="I719" s="1" t="s">
        <v>660</v>
      </c>
      <c r="J719" s="1" t="s">
        <v>16</v>
      </c>
      <c r="K719" s="1" t="s">
        <v>1683</v>
      </c>
      <c r="L719" s="1" t="s">
        <v>1500</v>
      </c>
      <c r="M719">
        <f t="shared" si="77"/>
        <v>500</v>
      </c>
      <c r="N719" t="str">
        <f t="shared" si="78"/>
        <v>1959-07-09</v>
      </c>
      <c r="O719">
        <f t="shared" si="79"/>
        <v>52</v>
      </c>
      <c r="P719" t="str">
        <f t="shared" si="80"/>
        <v>mężczyzna</v>
      </c>
      <c r="Q719">
        <f t="shared" si="81"/>
        <v>213</v>
      </c>
      <c r="R719">
        <f t="shared" si="82"/>
        <v>48</v>
      </c>
      <c r="S719">
        <f t="shared" ca="1" si="83"/>
        <v>7</v>
      </c>
    </row>
    <row r="720" spans="1:19">
      <c r="A720" s="1" t="s">
        <v>19</v>
      </c>
      <c r="B720" s="2">
        <v>693.7</v>
      </c>
      <c r="C720" s="1">
        <v>693.7</v>
      </c>
      <c r="D720" s="1" t="s">
        <v>71</v>
      </c>
      <c r="E720" s="1">
        <v>11</v>
      </c>
      <c r="F720" s="3">
        <v>1900</v>
      </c>
      <c r="G720" s="1">
        <v>2</v>
      </c>
      <c r="H720" s="1" t="s">
        <v>1691</v>
      </c>
      <c r="I720" s="1" t="s">
        <v>73</v>
      </c>
      <c r="J720" s="1" t="s">
        <v>16</v>
      </c>
      <c r="K720" s="1" t="s">
        <v>1683</v>
      </c>
      <c r="L720" s="1" t="s">
        <v>1638</v>
      </c>
      <c r="M720">
        <f t="shared" si="77"/>
        <v>693.7</v>
      </c>
      <c r="N720" t="str">
        <f t="shared" si="78"/>
        <v>1973-03-29</v>
      </c>
      <c r="O720">
        <f t="shared" si="79"/>
        <v>38</v>
      </c>
      <c r="P720" t="str">
        <f t="shared" si="80"/>
        <v>kobieta</v>
      </c>
      <c r="Q720">
        <f t="shared" si="81"/>
        <v>210</v>
      </c>
      <c r="R720">
        <f t="shared" si="82"/>
        <v>48</v>
      </c>
      <c r="S720">
        <f t="shared" ca="1" si="83"/>
        <v>5</v>
      </c>
    </row>
    <row r="721" spans="1:19">
      <c r="A721" s="1" t="s">
        <v>19</v>
      </c>
      <c r="B721" s="2">
        <v>400</v>
      </c>
      <c r="C721" s="1">
        <v>400</v>
      </c>
      <c r="D721" s="1" t="s">
        <v>874</v>
      </c>
      <c r="E721" s="1">
        <v>11</v>
      </c>
      <c r="F721" s="3">
        <v>980.11</v>
      </c>
      <c r="G721" s="1">
        <v>3</v>
      </c>
      <c r="H721" s="1" t="s">
        <v>1692</v>
      </c>
      <c r="I721" s="1" t="s">
        <v>876</v>
      </c>
      <c r="J721" s="1" t="s">
        <v>16</v>
      </c>
      <c r="K721" s="1" t="s">
        <v>1683</v>
      </c>
      <c r="L721" s="1" t="s">
        <v>1518</v>
      </c>
      <c r="M721">
        <f t="shared" si="77"/>
        <v>400</v>
      </c>
      <c r="N721" t="str">
        <f t="shared" si="78"/>
        <v>1977-07-20</v>
      </c>
      <c r="O721">
        <f t="shared" si="79"/>
        <v>34</v>
      </c>
      <c r="P721" t="str">
        <f t="shared" si="80"/>
        <v>kobieta</v>
      </c>
      <c r="Q721">
        <f t="shared" si="81"/>
        <v>47</v>
      </c>
      <c r="R721">
        <f t="shared" si="82"/>
        <v>48</v>
      </c>
      <c r="S721">
        <f t="shared" ca="1" si="83"/>
        <v>0</v>
      </c>
    </row>
    <row r="722" spans="1:19">
      <c r="A722" s="1" t="s">
        <v>56</v>
      </c>
      <c r="B722" s="2">
        <v>300</v>
      </c>
      <c r="C722" s="1">
        <v>300</v>
      </c>
      <c r="D722" s="1" t="s">
        <v>581</v>
      </c>
      <c r="E722" s="1">
        <v>12</v>
      </c>
      <c r="F722" s="3">
        <v>1210</v>
      </c>
      <c r="G722" s="1">
        <v>0</v>
      </c>
      <c r="H722" s="1" t="s">
        <v>1693</v>
      </c>
      <c r="I722" s="1" t="s">
        <v>583</v>
      </c>
      <c r="J722" s="1" t="s">
        <v>63</v>
      </c>
      <c r="K722" s="1" t="s">
        <v>570</v>
      </c>
      <c r="L722" s="1" t="s">
        <v>28</v>
      </c>
      <c r="M722">
        <f t="shared" si="77"/>
        <v>300</v>
      </c>
      <c r="N722" t="str">
        <f t="shared" si="78"/>
        <v>1959-02-16</v>
      </c>
      <c r="O722">
        <f t="shared" si="79"/>
        <v>52</v>
      </c>
      <c r="P722" t="str">
        <f t="shared" si="80"/>
        <v>mężczyzna</v>
      </c>
      <c r="Q722">
        <f t="shared" si="81"/>
        <v>9</v>
      </c>
      <c r="R722">
        <f t="shared" si="82"/>
        <v>0</v>
      </c>
      <c r="S722">
        <f t="shared" ca="1" si="83"/>
        <v>5212</v>
      </c>
    </row>
    <row r="723" spans="1:19">
      <c r="A723" s="1" t="s">
        <v>19</v>
      </c>
      <c r="B723" s="2">
        <v>282.68</v>
      </c>
      <c r="C723" s="1">
        <v>282.68</v>
      </c>
      <c r="D723" s="1" t="s">
        <v>60</v>
      </c>
      <c r="E723" s="1">
        <v>12</v>
      </c>
      <c r="F723" s="3">
        <v>1050</v>
      </c>
      <c r="G723" s="1">
        <v>5</v>
      </c>
      <c r="H723" s="1" t="s">
        <v>1694</v>
      </c>
      <c r="I723" s="1" t="s">
        <v>62</v>
      </c>
      <c r="J723" s="1" t="s">
        <v>63</v>
      </c>
      <c r="K723" s="1" t="s">
        <v>570</v>
      </c>
      <c r="L723" s="1" t="s">
        <v>1669</v>
      </c>
      <c r="M723">
        <f t="shared" si="77"/>
        <v>282.68</v>
      </c>
      <c r="N723" t="str">
        <f t="shared" si="78"/>
        <v>1959-09-11</v>
      </c>
      <c r="O723">
        <f t="shared" si="79"/>
        <v>52</v>
      </c>
      <c r="P723" t="str">
        <f t="shared" si="80"/>
        <v>kobieta</v>
      </c>
      <c r="Q723">
        <f t="shared" si="81"/>
        <v>36</v>
      </c>
      <c r="R723">
        <f t="shared" si="82"/>
        <v>0</v>
      </c>
      <c r="S723">
        <f t="shared" ca="1" si="83"/>
        <v>0</v>
      </c>
    </row>
    <row r="724" spans="1:19">
      <c r="A724" s="1" t="s">
        <v>12</v>
      </c>
      <c r="B724" s="2">
        <v>200</v>
      </c>
      <c r="C724" s="1">
        <v>200</v>
      </c>
      <c r="D724" s="1" t="s">
        <v>87</v>
      </c>
      <c r="E724" s="1">
        <v>99</v>
      </c>
      <c r="F724" s="3">
        <v>598</v>
      </c>
      <c r="G724" s="1">
        <v>0</v>
      </c>
      <c r="H724" s="1" t="s">
        <v>1695</v>
      </c>
      <c r="I724" s="1" t="s">
        <v>89</v>
      </c>
      <c r="J724" s="1" t="s">
        <v>90</v>
      </c>
      <c r="K724" s="1" t="s">
        <v>570</v>
      </c>
      <c r="L724" s="1" t="s">
        <v>1430</v>
      </c>
      <c r="M724">
        <f t="shared" si="77"/>
        <v>200</v>
      </c>
      <c r="N724" t="str">
        <f t="shared" si="78"/>
        <v>1959-11-14</v>
      </c>
      <c r="O724">
        <f t="shared" si="79"/>
        <v>52</v>
      </c>
      <c r="P724" t="str">
        <f t="shared" si="80"/>
        <v>kobieta</v>
      </c>
      <c r="Q724">
        <f t="shared" si="81"/>
        <v>5</v>
      </c>
      <c r="R724">
        <f t="shared" si="82"/>
        <v>1</v>
      </c>
      <c r="S724">
        <f t="shared" ca="1" si="83"/>
        <v>0</v>
      </c>
    </row>
    <row r="725" spans="1:19">
      <c r="A725" s="1" t="s">
        <v>19</v>
      </c>
      <c r="B725" s="2">
        <v>300</v>
      </c>
      <c r="C725" s="1">
        <v>300</v>
      </c>
      <c r="D725" s="1" t="s">
        <v>1227</v>
      </c>
      <c r="E725" s="1">
        <v>11</v>
      </c>
      <c r="F725" s="3">
        <v>1400</v>
      </c>
      <c r="G725" s="1">
        <v>0</v>
      </c>
      <c r="H725" s="1" t="s">
        <v>1696</v>
      </c>
      <c r="I725" s="1" t="s">
        <v>1229</v>
      </c>
      <c r="J725" s="1" t="s">
        <v>16</v>
      </c>
      <c r="K725" s="1" t="s">
        <v>570</v>
      </c>
      <c r="L725" s="1" t="s">
        <v>1669</v>
      </c>
      <c r="M725">
        <f t="shared" si="77"/>
        <v>300</v>
      </c>
      <c r="N725" t="str">
        <f t="shared" si="78"/>
        <v>1968-03-01</v>
      </c>
      <c r="O725">
        <f t="shared" si="79"/>
        <v>43</v>
      </c>
      <c r="P725" t="str">
        <f t="shared" si="80"/>
        <v>kobieta</v>
      </c>
      <c r="Q725">
        <f t="shared" si="81"/>
        <v>27</v>
      </c>
      <c r="R725">
        <f t="shared" si="82"/>
        <v>48</v>
      </c>
      <c r="S725">
        <f t="shared" ca="1" si="83"/>
        <v>0</v>
      </c>
    </row>
    <row r="726" spans="1:19">
      <c r="A726" s="1" t="s">
        <v>309</v>
      </c>
      <c r="B726" s="2">
        <v>470</v>
      </c>
      <c r="C726" s="1">
        <v>470</v>
      </c>
      <c r="D726" s="1" t="s">
        <v>1135</v>
      </c>
      <c r="E726" s="1">
        <v>13</v>
      </c>
      <c r="F726" s="3">
        <v>1800</v>
      </c>
      <c r="G726" s="1">
        <v>1</v>
      </c>
      <c r="H726" s="1" t="s">
        <v>1697</v>
      </c>
      <c r="I726" s="1" t="s">
        <v>1137</v>
      </c>
      <c r="J726" s="1" t="s">
        <v>16</v>
      </c>
      <c r="K726" s="1" t="s">
        <v>570</v>
      </c>
      <c r="L726" s="1" t="s">
        <v>1698</v>
      </c>
      <c r="M726">
        <f t="shared" si="77"/>
        <v>470</v>
      </c>
      <c r="N726" t="str">
        <f t="shared" si="78"/>
        <v>1942-01-19</v>
      </c>
      <c r="O726">
        <f t="shared" si="79"/>
        <v>69</v>
      </c>
      <c r="P726" t="str">
        <f t="shared" si="80"/>
        <v>kobieta</v>
      </c>
      <c r="Q726">
        <f t="shared" si="81"/>
        <v>119</v>
      </c>
      <c r="R726">
        <f t="shared" si="82"/>
        <v>48</v>
      </c>
      <c r="S726">
        <f t="shared" ca="1" si="83"/>
        <v>14</v>
      </c>
    </row>
    <row r="727" spans="1:19">
      <c r="A727" s="1" t="s">
        <v>56</v>
      </c>
      <c r="B727" s="2">
        <v>500</v>
      </c>
      <c r="C727" s="1">
        <v>400</v>
      </c>
      <c r="D727" s="1" t="s">
        <v>1699</v>
      </c>
      <c r="E727" s="1">
        <v>12</v>
      </c>
      <c r="F727" s="3">
        <v>1650</v>
      </c>
      <c r="G727" s="1">
        <v>0</v>
      </c>
      <c r="H727" s="1" t="s">
        <v>1700</v>
      </c>
      <c r="I727" s="1" t="s">
        <v>360</v>
      </c>
      <c r="J727" s="1" t="s">
        <v>1701</v>
      </c>
      <c r="K727" s="1" t="s">
        <v>570</v>
      </c>
      <c r="L727" s="1" t="s">
        <v>28</v>
      </c>
      <c r="M727">
        <f t="shared" si="77"/>
        <v>400</v>
      </c>
      <c r="N727" t="str">
        <f t="shared" si="78"/>
        <v>1954-10-09</v>
      </c>
      <c r="O727">
        <f t="shared" si="79"/>
        <v>57</v>
      </c>
      <c r="P727" t="str">
        <f t="shared" si="80"/>
        <v>mężczyzna</v>
      </c>
      <c r="Q727">
        <f t="shared" si="81"/>
        <v>3</v>
      </c>
      <c r="R727">
        <f t="shared" si="82"/>
        <v>23</v>
      </c>
      <c r="S727">
        <f t="shared" ca="1" si="83"/>
        <v>5212</v>
      </c>
    </row>
    <row r="728" spans="1:19">
      <c r="A728" s="1" t="s">
        <v>19</v>
      </c>
      <c r="B728" s="2">
        <v>300</v>
      </c>
      <c r="C728" s="1">
        <v>300</v>
      </c>
      <c r="D728" s="1" t="s">
        <v>143</v>
      </c>
      <c r="E728" s="1">
        <v>13</v>
      </c>
      <c r="F728" s="3">
        <v>3900</v>
      </c>
      <c r="G728" s="1">
        <v>7</v>
      </c>
      <c r="H728" s="1" t="s">
        <v>1702</v>
      </c>
      <c r="I728" s="1" t="s">
        <v>145</v>
      </c>
      <c r="J728" s="1" t="s">
        <v>16</v>
      </c>
      <c r="K728" s="1" t="s">
        <v>570</v>
      </c>
      <c r="L728" s="1" t="s">
        <v>1669</v>
      </c>
      <c r="M728">
        <f t="shared" si="77"/>
        <v>300</v>
      </c>
      <c r="N728" t="str">
        <f t="shared" si="78"/>
        <v>1962-11-23</v>
      </c>
      <c r="O728">
        <f t="shared" si="79"/>
        <v>49</v>
      </c>
      <c r="P728" t="str">
        <f t="shared" si="80"/>
        <v>mężczyzna</v>
      </c>
      <c r="Q728">
        <f t="shared" si="81"/>
        <v>32</v>
      </c>
      <c r="R728">
        <f t="shared" si="82"/>
        <v>48</v>
      </c>
      <c r="S728">
        <f t="shared" ca="1" si="83"/>
        <v>0</v>
      </c>
    </row>
    <row r="729" spans="1:19">
      <c r="A729" s="1" t="s">
        <v>19</v>
      </c>
      <c r="B729" s="2">
        <v>500</v>
      </c>
      <c r="C729" s="1">
        <v>500</v>
      </c>
      <c r="D729" s="1" t="s">
        <v>1703</v>
      </c>
      <c r="E729" s="1">
        <v>11</v>
      </c>
      <c r="F729" s="3">
        <v>2400</v>
      </c>
      <c r="G729" s="1">
        <v>0</v>
      </c>
      <c r="H729" s="1" t="s">
        <v>1704</v>
      </c>
      <c r="I729" s="1" t="s">
        <v>1705</v>
      </c>
      <c r="J729" s="1" t="s">
        <v>16</v>
      </c>
      <c r="K729" s="1" t="s">
        <v>570</v>
      </c>
      <c r="L729" s="1" t="s">
        <v>1518</v>
      </c>
      <c r="M729">
        <f t="shared" si="77"/>
        <v>500</v>
      </c>
      <c r="N729" t="str">
        <f t="shared" si="78"/>
        <v>1961-11-22</v>
      </c>
      <c r="O729">
        <f t="shared" si="79"/>
        <v>50</v>
      </c>
      <c r="P729" t="str">
        <f t="shared" si="80"/>
        <v>mężczyzna</v>
      </c>
      <c r="Q729">
        <f t="shared" si="81"/>
        <v>254</v>
      </c>
      <c r="R729">
        <f t="shared" si="82"/>
        <v>48</v>
      </c>
      <c r="S729">
        <f t="shared" ca="1" si="83"/>
        <v>0</v>
      </c>
    </row>
    <row r="730" spans="1:19">
      <c r="A730" s="1" t="s">
        <v>19</v>
      </c>
      <c r="B730" s="2">
        <v>400</v>
      </c>
      <c r="C730" s="1">
        <v>400</v>
      </c>
      <c r="D730" s="1" t="s">
        <v>101</v>
      </c>
      <c r="E730" s="1">
        <v>11</v>
      </c>
      <c r="F730" s="3">
        <v>4000</v>
      </c>
      <c r="G730" s="1">
        <v>7</v>
      </c>
      <c r="H730" s="1" t="s">
        <v>1706</v>
      </c>
      <c r="I730" s="1" t="s">
        <v>103</v>
      </c>
      <c r="J730" s="1" t="s">
        <v>16</v>
      </c>
      <c r="K730" s="1" t="s">
        <v>570</v>
      </c>
      <c r="L730" s="1" t="s">
        <v>1638</v>
      </c>
      <c r="M730">
        <f t="shared" si="77"/>
        <v>400</v>
      </c>
      <c r="N730" t="str">
        <f t="shared" si="78"/>
        <v>1958-01-12</v>
      </c>
      <c r="O730">
        <f t="shared" si="79"/>
        <v>53</v>
      </c>
      <c r="P730" t="str">
        <f t="shared" si="80"/>
        <v>mężczyzna</v>
      </c>
      <c r="Q730">
        <f t="shared" si="81"/>
        <v>12</v>
      </c>
      <c r="R730">
        <f t="shared" si="82"/>
        <v>48</v>
      </c>
      <c r="S730">
        <f t="shared" ca="1" si="83"/>
        <v>4</v>
      </c>
    </row>
    <row r="731" spans="1:19">
      <c r="A731" s="1" t="s">
        <v>19</v>
      </c>
      <c r="B731" s="2">
        <v>200</v>
      </c>
      <c r="C731" s="1">
        <v>300</v>
      </c>
      <c r="D731" s="1" t="s">
        <v>1707</v>
      </c>
      <c r="E731" s="1">
        <v>13</v>
      </c>
      <c r="F731" s="3">
        <v>1412</v>
      </c>
      <c r="G731" s="1">
        <v>0</v>
      </c>
      <c r="H731" s="1" t="s">
        <v>1708</v>
      </c>
      <c r="I731" s="1" t="s">
        <v>1709</v>
      </c>
      <c r="J731" s="1" t="s">
        <v>16</v>
      </c>
      <c r="K731" s="1" t="s">
        <v>570</v>
      </c>
      <c r="L731" s="1" t="s">
        <v>1669</v>
      </c>
      <c r="M731">
        <f t="shared" si="77"/>
        <v>300</v>
      </c>
      <c r="N731" t="str">
        <f t="shared" si="78"/>
        <v>1938-12-22</v>
      </c>
      <c r="O731">
        <f t="shared" si="79"/>
        <v>73</v>
      </c>
      <c r="P731" t="str">
        <f t="shared" si="80"/>
        <v>kobieta</v>
      </c>
      <c r="Q731">
        <f t="shared" si="81"/>
        <v>206</v>
      </c>
      <c r="R731">
        <f t="shared" si="82"/>
        <v>48</v>
      </c>
      <c r="S731">
        <f t="shared" ca="1" si="83"/>
        <v>0</v>
      </c>
    </row>
    <row r="732" spans="1:19">
      <c r="A732" s="1" t="s">
        <v>19</v>
      </c>
      <c r="B732" s="2">
        <v>200</v>
      </c>
      <c r="C732" s="1">
        <v>200</v>
      </c>
      <c r="D732" s="1" t="s">
        <v>32</v>
      </c>
      <c r="E732" s="1">
        <v>11</v>
      </c>
      <c r="F732" s="3">
        <v>1172.2</v>
      </c>
      <c r="G732" s="1">
        <v>6</v>
      </c>
      <c r="H732" s="1" t="s">
        <v>1710</v>
      </c>
      <c r="I732" s="1" t="s">
        <v>34</v>
      </c>
      <c r="J732" s="1" t="s">
        <v>16</v>
      </c>
      <c r="K732" s="1" t="s">
        <v>570</v>
      </c>
      <c r="L732" s="1" t="s">
        <v>1580</v>
      </c>
      <c r="M732">
        <f t="shared" si="77"/>
        <v>200</v>
      </c>
      <c r="N732" t="str">
        <f t="shared" si="78"/>
        <v>1955-08-21</v>
      </c>
      <c r="O732">
        <f t="shared" si="79"/>
        <v>56</v>
      </c>
      <c r="P732" t="str">
        <f t="shared" si="80"/>
        <v>kobieta</v>
      </c>
      <c r="Q732">
        <f t="shared" si="81"/>
        <v>39</v>
      </c>
      <c r="R732">
        <f t="shared" si="82"/>
        <v>48</v>
      </c>
      <c r="S732">
        <f t="shared" ca="1" si="83"/>
        <v>3</v>
      </c>
    </row>
    <row r="733" spans="1:19">
      <c r="A733" s="1" t="s">
        <v>12</v>
      </c>
      <c r="B733" s="2">
        <v>300</v>
      </c>
      <c r="C733" s="1">
        <v>300</v>
      </c>
      <c r="D733" s="1" t="s">
        <v>276</v>
      </c>
      <c r="E733" s="1">
        <v>13</v>
      </c>
      <c r="F733" s="3">
        <v>1295.3699999999999</v>
      </c>
      <c r="G733" s="1">
        <v>2</v>
      </c>
      <c r="H733" s="1" t="s">
        <v>1711</v>
      </c>
      <c r="I733" s="1" t="s">
        <v>278</v>
      </c>
      <c r="J733" s="1" t="s">
        <v>16</v>
      </c>
      <c r="K733" s="1" t="s">
        <v>570</v>
      </c>
      <c r="L733" s="1" t="s">
        <v>1457</v>
      </c>
      <c r="M733">
        <f t="shared" si="77"/>
        <v>300</v>
      </c>
      <c r="N733" t="str">
        <f t="shared" si="78"/>
        <v>1940-11-07</v>
      </c>
      <c r="O733">
        <f t="shared" si="79"/>
        <v>71</v>
      </c>
      <c r="P733" t="str">
        <f t="shared" si="80"/>
        <v>mężczyzna</v>
      </c>
      <c r="Q733">
        <f t="shared" si="81"/>
        <v>309</v>
      </c>
      <c r="R733">
        <f t="shared" si="82"/>
        <v>48</v>
      </c>
      <c r="S733">
        <f t="shared" ca="1" si="83"/>
        <v>0</v>
      </c>
    </row>
    <row r="734" spans="1:19">
      <c r="A734" s="1" t="s">
        <v>19</v>
      </c>
      <c r="B734" s="2">
        <v>300</v>
      </c>
      <c r="C734" s="1">
        <v>300</v>
      </c>
      <c r="D734" s="1" t="s">
        <v>1139</v>
      </c>
      <c r="E734" s="1">
        <v>12</v>
      </c>
      <c r="F734" s="3">
        <v>1200</v>
      </c>
      <c r="G734" s="1">
        <v>6</v>
      </c>
      <c r="H734" s="1" t="s">
        <v>1712</v>
      </c>
      <c r="I734" s="1" t="s">
        <v>1141</v>
      </c>
      <c r="J734" s="1" t="s">
        <v>246</v>
      </c>
      <c r="K734" s="1" t="s">
        <v>570</v>
      </c>
      <c r="L734" s="1" t="s">
        <v>1457</v>
      </c>
      <c r="M734">
        <f t="shared" si="77"/>
        <v>300</v>
      </c>
      <c r="N734" t="str">
        <f t="shared" si="78"/>
        <v>1976-08-12</v>
      </c>
      <c r="O734">
        <f t="shared" si="79"/>
        <v>35</v>
      </c>
      <c r="P734" t="str">
        <f t="shared" si="80"/>
        <v>kobieta</v>
      </c>
      <c r="Q734">
        <f t="shared" si="81"/>
        <v>11</v>
      </c>
      <c r="R734">
        <f t="shared" si="82"/>
        <v>3</v>
      </c>
      <c r="S734">
        <f t="shared" ca="1" si="83"/>
        <v>0</v>
      </c>
    </row>
    <row r="735" spans="1:19">
      <c r="A735" s="1" t="s">
        <v>12</v>
      </c>
      <c r="B735" s="2">
        <v>200</v>
      </c>
      <c r="C735" s="1">
        <v>200</v>
      </c>
      <c r="D735" s="1" t="s">
        <v>267</v>
      </c>
      <c r="E735" s="1">
        <v>13</v>
      </c>
      <c r="F735" s="3">
        <v>1700</v>
      </c>
      <c r="G735" s="1">
        <v>1</v>
      </c>
      <c r="H735" s="1" t="s">
        <v>1713</v>
      </c>
      <c r="I735" s="1" t="s">
        <v>15</v>
      </c>
      <c r="J735" s="1" t="s">
        <v>16</v>
      </c>
      <c r="K735" s="1" t="s">
        <v>570</v>
      </c>
      <c r="L735" s="1" t="s">
        <v>1698</v>
      </c>
      <c r="M735">
        <f t="shared" si="77"/>
        <v>200</v>
      </c>
      <c r="N735" t="str">
        <f t="shared" si="78"/>
        <v>1939-10-16</v>
      </c>
      <c r="O735">
        <f t="shared" si="79"/>
        <v>72</v>
      </c>
      <c r="P735" t="str">
        <f t="shared" si="80"/>
        <v>mężczyzna</v>
      </c>
      <c r="Q735">
        <f t="shared" si="81"/>
        <v>16</v>
      </c>
      <c r="R735">
        <f t="shared" si="82"/>
        <v>48</v>
      </c>
      <c r="S735">
        <f t="shared" ca="1" si="83"/>
        <v>14</v>
      </c>
    </row>
    <row r="736" spans="1:19">
      <c r="A736" s="1" t="s">
        <v>19</v>
      </c>
      <c r="B736" s="2">
        <v>500</v>
      </c>
      <c r="C736" s="1">
        <v>500</v>
      </c>
      <c r="D736" s="1" t="s">
        <v>267</v>
      </c>
      <c r="E736" s="1">
        <v>13</v>
      </c>
      <c r="F736" s="3">
        <v>1700</v>
      </c>
      <c r="G736" s="1">
        <v>6</v>
      </c>
      <c r="H736" s="1" t="s">
        <v>1714</v>
      </c>
      <c r="I736" s="1" t="s">
        <v>15</v>
      </c>
      <c r="J736" s="1" t="s">
        <v>16</v>
      </c>
      <c r="K736" s="1" t="s">
        <v>570</v>
      </c>
      <c r="L736" s="1" t="s">
        <v>1715</v>
      </c>
      <c r="M736">
        <f t="shared" si="77"/>
        <v>500</v>
      </c>
      <c r="N736" t="str">
        <f t="shared" si="78"/>
        <v>1939-10-16</v>
      </c>
      <c r="O736">
        <f t="shared" si="79"/>
        <v>72</v>
      </c>
      <c r="P736" t="str">
        <f t="shared" si="80"/>
        <v>mężczyzna</v>
      </c>
      <c r="Q736">
        <f t="shared" si="81"/>
        <v>16</v>
      </c>
      <c r="R736">
        <f t="shared" si="82"/>
        <v>48</v>
      </c>
      <c r="S736">
        <f t="shared" ca="1" si="83"/>
        <v>8</v>
      </c>
    </row>
    <row r="737" spans="1:19">
      <c r="A737" s="1" t="s">
        <v>19</v>
      </c>
      <c r="B737" s="2">
        <v>437.15</v>
      </c>
      <c r="C737" s="1">
        <v>437.15</v>
      </c>
      <c r="D737" s="1" t="s">
        <v>1094</v>
      </c>
      <c r="E737" s="1">
        <v>13</v>
      </c>
      <c r="F737" s="3">
        <v>1362</v>
      </c>
      <c r="G737" s="1">
        <v>6</v>
      </c>
      <c r="H737" s="1" t="s">
        <v>1716</v>
      </c>
      <c r="I737" s="1" t="s">
        <v>1000</v>
      </c>
      <c r="J737" s="1" t="s">
        <v>16</v>
      </c>
      <c r="K737" s="1" t="s">
        <v>1717</v>
      </c>
      <c r="L737" s="1" t="s">
        <v>1638</v>
      </c>
      <c r="M737">
        <f t="shared" si="77"/>
        <v>437.15</v>
      </c>
      <c r="N737" t="str">
        <f t="shared" si="78"/>
        <v>1950-09-11</v>
      </c>
      <c r="O737">
        <f t="shared" si="79"/>
        <v>61</v>
      </c>
      <c r="P737" t="str">
        <f t="shared" si="80"/>
        <v>kobieta</v>
      </c>
      <c r="Q737">
        <f t="shared" si="81"/>
        <v>58</v>
      </c>
      <c r="R737">
        <f t="shared" si="82"/>
        <v>48</v>
      </c>
      <c r="S737">
        <f t="shared" ca="1" si="83"/>
        <v>3</v>
      </c>
    </row>
    <row r="738" spans="1:19">
      <c r="A738" s="1" t="s">
        <v>19</v>
      </c>
      <c r="B738" s="2">
        <v>537.15</v>
      </c>
      <c r="C738" s="1">
        <v>537.15</v>
      </c>
      <c r="D738" s="1" t="s">
        <v>840</v>
      </c>
      <c r="E738" s="1">
        <v>13</v>
      </c>
      <c r="F738" s="3">
        <v>962</v>
      </c>
      <c r="G738" s="1">
        <v>2</v>
      </c>
      <c r="H738" s="1" t="s">
        <v>1718</v>
      </c>
      <c r="I738" s="1" t="s">
        <v>669</v>
      </c>
      <c r="J738" s="1" t="s">
        <v>16</v>
      </c>
      <c r="K738" s="1" t="s">
        <v>1717</v>
      </c>
      <c r="L738" s="1" t="s">
        <v>1638</v>
      </c>
      <c r="M738">
        <f t="shared" si="77"/>
        <v>537.15</v>
      </c>
      <c r="N738" t="str">
        <f t="shared" si="78"/>
        <v>1949-10-06</v>
      </c>
      <c r="O738">
        <f t="shared" si="79"/>
        <v>62</v>
      </c>
      <c r="P738" t="str">
        <f t="shared" si="80"/>
        <v>kobieta</v>
      </c>
      <c r="Q738">
        <f t="shared" si="81"/>
        <v>67</v>
      </c>
      <c r="R738">
        <f t="shared" si="82"/>
        <v>48</v>
      </c>
      <c r="S738">
        <f t="shared" ca="1" si="83"/>
        <v>3</v>
      </c>
    </row>
    <row r="739" spans="1:19">
      <c r="A739" s="1" t="s">
        <v>19</v>
      </c>
      <c r="B739" s="2">
        <v>242.28</v>
      </c>
      <c r="C739" s="1">
        <v>242.28</v>
      </c>
      <c r="D739" s="1" t="s">
        <v>146</v>
      </c>
      <c r="E739" s="1">
        <v>13</v>
      </c>
      <c r="F739" s="3">
        <v>1350</v>
      </c>
      <c r="G739" s="1">
        <v>5</v>
      </c>
      <c r="H739" s="1" t="s">
        <v>1719</v>
      </c>
      <c r="I739" s="1" t="s">
        <v>148</v>
      </c>
      <c r="J739" s="1" t="s">
        <v>16</v>
      </c>
      <c r="K739" s="1" t="s">
        <v>1717</v>
      </c>
      <c r="L739" s="1" t="s">
        <v>1669</v>
      </c>
      <c r="M739">
        <f t="shared" si="77"/>
        <v>242.28</v>
      </c>
      <c r="N739" t="str">
        <f t="shared" si="78"/>
        <v>1946-02-12</v>
      </c>
      <c r="O739">
        <f t="shared" si="79"/>
        <v>65</v>
      </c>
      <c r="P739" t="str">
        <f t="shared" si="80"/>
        <v>kobieta</v>
      </c>
      <c r="Q739">
        <f t="shared" si="81"/>
        <v>113</v>
      </c>
      <c r="R739">
        <f t="shared" si="82"/>
        <v>48</v>
      </c>
      <c r="S739">
        <f t="shared" ca="1" si="83"/>
        <v>0</v>
      </c>
    </row>
    <row r="740" spans="1:19">
      <c r="A740" s="1" t="s">
        <v>19</v>
      </c>
      <c r="B740" s="2">
        <v>300</v>
      </c>
      <c r="C740" s="1">
        <v>300</v>
      </c>
      <c r="D740" s="1" t="s">
        <v>108</v>
      </c>
      <c r="E740" s="1">
        <v>13</v>
      </c>
      <c r="F740" s="3">
        <v>729.03</v>
      </c>
      <c r="G740" s="1">
        <v>0</v>
      </c>
      <c r="H740" s="1" t="s">
        <v>1720</v>
      </c>
      <c r="I740" s="1" t="s">
        <v>110</v>
      </c>
      <c r="J740" s="1" t="s">
        <v>16</v>
      </c>
      <c r="K740" s="1" t="s">
        <v>1717</v>
      </c>
      <c r="L740" s="1" t="s">
        <v>1592</v>
      </c>
      <c r="M740">
        <f t="shared" si="77"/>
        <v>300</v>
      </c>
      <c r="N740" t="str">
        <f t="shared" si="78"/>
        <v>1941-08-29</v>
      </c>
      <c r="O740">
        <f t="shared" si="79"/>
        <v>70</v>
      </c>
      <c r="P740" t="str">
        <f t="shared" si="80"/>
        <v>kobieta</v>
      </c>
      <c r="Q740">
        <f t="shared" si="81"/>
        <v>259</v>
      </c>
      <c r="R740">
        <f t="shared" si="82"/>
        <v>48</v>
      </c>
      <c r="S740">
        <f t="shared" ca="1" si="83"/>
        <v>0</v>
      </c>
    </row>
    <row r="741" spans="1:19">
      <c r="A741" s="1" t="s">
        <v>19</v>
      </c>
      <c r="B741" s="2">
        <v>500</v>
      </c>
      <c r="C741" s="1">
        <v>500</v>
      </c>
      <c r="D741" s="1" t="s">
        <v>1230</v>
      </c>
      <c r="E741" s="1">
        <v>13</v>
      </c>
      <c r="F741" s="3">
        <v>864.34</v>
      </c>
      <c r="G741" s="1">
        <v>1</v>
      </c>
      <c r="H741" s="1" t="s">
        <v>1721</v>
      </c>
      <c r="I741" s="1" t="s">
        <v>1232</v>
      </c>
      <c r="J741" s="1" t="s">
        <v>16</v>
      </c>
      <c r="K741" s="1" t="s">
        <v>1717</v>
      </c>
      <c r="L741" s="1" t="s">
        <v>1580</v>
      </c>
      <c r="M741">
        <f t="shared" si="77"/>
        <v>500</v>
      </c>
      <c r="N741" t="str">
        <f t="shared" si="78"/>
        <v>1964-05-19</v>
      </c>
      <c r="O741">
        <f t="shared" si="79"/>
        <v>47</v>
      </c>
      <c r="P741" t="str">
        <f t="shared" si="80"/>
        <v>mężczyzna</v>
      </c>
      <c r="Q741">
        <f t="shared" si="81"/>
        <v>158</v>
      </c>
      <c r="R741">
        <f t="shared" si="82"/>
        <v>48</v>
      </c>
      <c r="S741">
        <f t="shared" ca="1" si="83"/>
        <v>2</v>
      </c>
    </row>
    <row r="742" spans="1:19">
      <c r="A742" s="1" t="s">
        <v>19</v>
      </c>
      <c r="B742" s="2">
        <v>200</v>
      </c>
      <c r="C742" s="1">
        <v>200</v>
      </c>
      <c r="D742" s="1" t="s">
        <v>20</v>
      </c>
      <c r="E742" s="1">
        <v>16</v>
      </c>
      <c r="F742" s="3">
        <v>959.6</v>
      </c>
      <c r="G742" s="1">
        <v>6</v>
      </c>
      <c r="H742" s="1" t="s">
        <v>1722</v>
      </c>
      <c r="I742" s="1" t="s">
        <v>22</v>
      </c>
      <c r="J742" s="1" t="s">
        <v>16</v>
      </c>
      <c r="K742" s="1" t="s">
        <v>1717</v>
      </c>
      <c r="L742" s="1" t="s">
        <v>1518</v>
      </c>
      <c r="M742">
        <f t="shared" si="77"/>
        <v>200</v>
      </c>
      <c r="N742" t="str">
        <f t="shared" si="78"/>
        <v>1942-12-03</v>
      </c>
      <c r="O742">
        <f t="shared" si="79"/>
        <v>69</v>
      </c>
      <c r="P742" t="str">
        <f t="shared" si="80"/>
        <v>kobieta</v>
      </c>
      <c r="Q742">
        <f t="shared" si="81"/>
        <v>117</v>
      </c>
      <c r="R742">
        <f t="shared" si="82"/>
        <v>48</v>
      </c>
      <c r="S742">
        <f t="shared" ca="1" si="83"/>
        <v>0</v>
      </c>
    </row>
    <row r="743" spans="1:19">
      <c r="A743" s="1" t="s">
        <v>24</v>
      </c>
      <c r="B743" s="2">
        <v>300</v>
      </c>
      <c r="C743" s="1">
        <v>0</v>
      </c>
      <c r="D743" s="1" t="s">
        <v>1723</v>
      </c>
      <c r="E743" s="1">
        <v>12</v>
      </c>
      <c r="F743" s="3">
        <v>1037.3399999999999</v>
      </c>
      <c r="G743" s="1">
        <v>0</v>
      </c>
      <c r="H743" s="1" t="s">
        <v>1724</v>
      </c>
      <c r="I743" s="1" t="s">
        <v>1725</v>
      </c>
      <c r="J743" s="1" t="s">
        <v>1726</v>
      </c>
      <c r="K743" s="1" t="s">
        <v>16</v>
      </c>
      <c r="L743" s="1" t="s">
        <v>28</v>
      </c>
      <c r="M743">
        <f t="shared" si="77"/>
        <v>300</v>
      </c>
      <c r="N743" t="str">
        <f t="shared" si="78"/>
        <v>1966-12-10</v>
      </c>
      <c r="O743">
        <f t="shared" si="79"/>
        <v>45</v>
      </c>
      <c r="P743" t="str">
        <f t="shared" si="80"/>
        <v>mężczyzna</v>
      </c>
      <c r="Q743">
        <f t="shared" si="81"/>
        <v>127</v>
      </c>
      <c r="R743">
        <f t="shared" si="82"/>
        <v>40</v>
      </c>
      <c r="S743">
        <f t="shared" ca="1" si="83"/>
        <v>0</v>
      </c>
    </row>
    <row r="744" spans="1:19">
      <c r="A744" s="1" t="s">
        <v>12</v>
      </c>
      <c r="B744" s="2">
        <v>401.3</v>
      </c>
      <c r="C744" s="1">
        <v>401.3</v>
      </c>
      <c r="D744" s="1" t="s">
        <v>996</v>
      </c>
      <c r="E744" s="1">
        <v>12</v>
      </c>
      <c r="F744" s="3">
        <v>1574.45</v>
      </c>
      <c r="G744" s="1">
        <v>0</v>
      </c>
      <c r="H744" s="1" t="s">
        <v>1727</v>
      </c>
      <c r="I744" s="1" t="s">
        <v>154</v>
      </c>
      <c r="J744" s="1" t="s">
        <v>977</v>
      </c>
      <c r="K744" s="1" t="s">
        <v>1717</v>
      </c>
      <c r="L744" s="1" t="s">
        <v>1728</v>
      </c>
      <c r="M744">
        <f t="shared" si="77"/>
        <v>401.3</v>
      </c>
      <c r="N744" t="str">
        <f t="shared" si="78"/>
        <v>1964-07-11</v>
      </c>
      <c r="O744">
        <f t="shared" si="79"/>
        <v>47</v>
      </c>
      <c r="P744" t="str">
        <f t="shared" si="80"/>
        <v>mężczyzna</v>
      </c>
      <c r="Q744">
        <f t="shared" si="81"/>
        <v>33</v>
      </c>
      <c r="R744">
        <f t="shared" si="82"/>
        <v>2</v>
      </c>
      <c r="S744">
        <f t="shared" ca="1" si="83"/>
        <v>10</v>
      </c>
    </row>
    <row r="745" spans="1:19">
      <c r="A745" s="1" t="s">
        <v>12</v>
      </c>
      <c r="B745" s="2">
        <v>600</v>
      </c>
      <c r="C745" s="1">
        <v>600</v>
      </c>
      <c r="D745" s="1" t="s">
        <v>167</v>
      </c>
      <c r="E745" s="1">
        <v>11</v>
      </c>
      <c r="F745" s="3">
        <v>2800</v>
      </c>
      <c r="G745" s="1">
        <v>6</v>
      </c>
      <c r="H745" s="1" t="s">
        <v>1729</v>
      </c>
      <c r="I745" s="1" t="s">
        <v>169</v>
      </c>
      <c r="J745" s="1" t="s">
        <v>16</v>
      </c>
      <c r="K745" s="1" t="s">
        <v>1717</v>
      </c>
      <c r="L745" s="1" t="s">
        <v>1728</v>
      </c>
      <c r="M745">
        <f t="shared" si="77"/>
        <v>600</v>
      </c>
      <c r="N745" t="str">
        <f t="shared" si="78"/>
        <v>1962-05-26</v>
      </c>
      <c r="O745">
        <f t="shared" si="79"/>
        <v>49</v>
      </c>
      <c r="P745" t="str">
        <f t="shared" si="80"/>
        <v>kobieta</v>
      </c>
      <c r="Q745">
        <f t="shared" si="81"/>
        <v>321</v>
      </c>
      <c r="R745">
        <f t="shared" si="82"/>
        <v>48</v>
      </c>
      <c r="S745">
        <f t="shared" ca="1" si="83"/>
        <v>10</v>
      </c>
    </row>
    <row r="746" spans="1:19">
      <c r="A746" s="1" t="s">
        <v>19</v>
      </c>
      <c r="B746" s="2">
        <v>400</v>
      </c>
      <c r="C746" s="1">
        <v>400</v>
      </c>
      <c r="D746" s="1" t="s">
        <v>176</v>
      </c>
      <c r="E746" s="1">
        <v>11</v>
      </c>
      <c r="F746" s="3">
        <v>1842.86</v>
      </c>
      <c r="G746" s="1">
        <v>5</v>
      </c>
      <c r="H746" s="1" t="s">
        <v>1730</v>
      </c>
      <c r="I746" s="1" t="s">
        <v>178</v>
      </c>
      <c r="J746" s="1" t="s">
        <v>16</v>
      </c>
      <c r="K746" s="1" t="s">
        <v>1717</v>
      </c>
      <c r="L746" s="1" t="s">
        <v>1638</v>
      </c>
      <c r="M746">
        <f t="shared" si="77"/>
        <v>400</v>
      </c>
      <c r="N746" t="str">
        <f t="shared" si="78"/>
        <v>1955-04-12</v>
      </c>
      <c r="O746">
        <f t="shared" si="79"/>
        <v>56</v>
      </c>
      <c r="P746" t="str">
        <f t="shared" si="80"/>
        <v>mężczyzna</v>
      </c>
      <c r="Q746">
        <f t="shared" si="81"/>
        <v>10</v>
      </c>
      <c r="R746">
        <f t="shared" si="82"/>
        <v>48</v>
      </c>
      <c r="S746">
        <f t="shared" ca="1" si="83"/>
        <v>3</v>
      </c>
    </row>
    <row r="747" spans="1:19">
      <c r="A747" s="1" t="s">
        <v>19</v>
      </c>
      <c r="B747" s="2">
        <v>879.43</v>
      </c>
      <c r="C747" s="1">
        <v>879.43</v>
      </c>
      <c r="D747" s="1" t="s">
        <v>1097</v>
      </c>
      <c r="E747" s="1">
        <v>12</v>
      </c>
      <c r="F747" s="3">
        <v>1500</v>
      </c>
      <c r="G747" s="1">
        <v>3</v>
      </c>
      <c r="H747" s="1" t="s">
        <v>1731</v>
      </c>
      <c r="I747" s="1" t="s">
        <v>1099</v>
      </c>
      <c r="J747" s="1" t="s">
        <v>63</v>
      </c>
      <c r="K747" s="1" t="s">
        <v>1717</v>
      </c>
      <c r="L747" s="1" t="s">
        <v>1732</v>
      </c>
      <c r="M747">
        <f t="shared" si="77"/>
        <v>879.43</v>
      </c>
      <c r="N747" t="str">
        <f t="shared" si="78"/>
        <v>1976-12-16</v>
      </c>
      <c r="O747">
        <f t="shared" si="79"/>
        <v>35</v>
      </c>
      <c r="P747" t="str">
        <f t="shared" si="80"/>
        <v>mężczyzna</v>
      </c>
      <c r="Q747">
        <f t="shared" si="81"/>
        <v>35</v>
      </c>
      <c r="R747">
        <f t="shared" si="82"/>
        <v>0</v>
      </c>
      <c r="S747">
        <f t="shared" ca="1" si="83"/>
        <v>14</v>
      </c>
    </row>
    <row r="748" spans="1:19">
      <c r="A748" s="1" t="s">
        <v>12</v>
      </c>
      <c r="B748" s="2">
        <v>326.77999999999997</v>
      </c>
      <c r="C748" s="1">
        <v>326.77999999999997</v>
      </c>
      <c r="D748" s="1" t="s">
        <v>1155</v>
      </c>
      <c r="E748" s="1">
        <v>11</v>
      </c>
      <c r="F748" s="3">
        <v>1261.98</v>
      </c>
      <c r="G748" s="1">
        <v>6</v>
      </c>
      <c r="H748" s="1" t="s">
        <v>1733</v>
      </c>
      <c r="I748" s="1" t="s">
        <v>441</v>
      </c>
      <c r="J748" s="1" t="s">
        <v>16</v>
      </c>
      <c r="K748" s="1" t="s">
        <v>1717</v>
      </c>
      <c r="L748" s="1" t="s">
        <v>1728</v>
      </c>
      <c r="M748">
        <f t="shared" si="77"/>
        <v>326.77999999999997</v>
      </c>
      <c r="N748" t="str">
        <f t="shared" si="78"/>
        <v>1971-08-13</v>
      </c>
      <c r="O748">
        <f t="shared" si="79"/>
        <v>40</v>
      </c>
      <c r="P748" t="str">
        <f t="shared" si="80"/>
        <v>mężczyzna</v>
      </c>
      <c r="Q748">
        <f t="shared" si="81"/>
        <v>38</v>
      </c>
      <c r="R748">
        <f t="shared" si="82"/>
        <v>48</v>
      </c>
      <c r="S748">
        <f t="shared" ca="1" si="83"/>
        <v>10</v>
      </c>
    </row>
    <row r="749" spans="1:19">
      <c r="A749" s="1" t="s">
        <v>56</v>
      </c>
      <c r="B749" s="2">
        <v>700</v>
      </c>
      <c r="C749" s="1">
        <v>700</v>
      </c>
      <c r="D749" s="1" t="s">
        <v>358</v>
      </c>
      <c r="E749" s="1">
        <v>98</v>
      </c>
      <c r="F749" s="3">
        <v>1357</v>
      </c>
      <c r="G749" s="1">
        <v>0</v>
      </c>
      <c r="H749" s="1" t="s">
        <v>1734</v>
      </c>
      <c r="I749" s="1" t="s">
        <v>360</v>
      </c>
      <c r="J749" s="1" t="s">
        <v>16</v>
      </c>
      <c r="K749" s="1" t="s">
        <v>1717</v>
      </c>
      <c r="L749" s="1" t="s">
        <v>28</v>
      </c>
      <c r="M749">
        <f t="shared" si="77"/>
        <v>700</v>
      </c>
      <c r="N749" t="str">
        <f t="shared" si="78"/>
        <v>1963-10-11</v>
      </c>
      <c r="O749">
        <f t="shared" si="79"/>
        <v>48</v>
      </c>
      <c r="P749" t="str">
        <f t="shared" si="80"/>
        <v>kobieta</v>
      </c>
      <c r="Q749">
        <f t="shared" si="81"/>
        <v>3</v>
      </c>
      <c r="R749">
        <f t="shared" si="82"/>
        <v>48</v>
      </c>
      <c r="S749">
        <f t="shared" ca="1" si="83"/>
        <v>5211</v>
      </c>
    </row>
    <row r="750" spans="1:19">
      <c r="A750" s="1" t="s">
        <v>19</v>
      </c>
      <c r="B750" s="2">
        <v>200</v>
      </c>
      <c r="C750" s="1">
        <v>200</v>
      </c>
      <c r="D750" s="1" t="s">
        <v>104</v>
      </c>
      <c r="E750" s="1">
        <v>17</v>
      </c>
      <c r="F750" s="3">
        <v>985</v>
      </c>
      <c r="G750" s="1">
        <v>7</v>
      </c>
      <c r="H750" s="1" t="s">
        <v>1735</v>
      </c>
      <c r="I750" s="1" t="s">
        <v>106</v>
      </c>
      <c r="J750" s="1" t="s">
        <v>107</v>
      </c>
      <c r="K750" s="1" t="s">
        <v>1717</v>
      </c>
      <c r="L750" s="1" t="s">
        <v>1638</v>
      </c>
      <c r="M750">
        <f t="shared" si="77"/>
        <v>200</v>
      </c>
      <c r="N750" t="str">
        <f t="shared" si="78"/>
        <v>1991-01-04</v>
      </c>
      <c r="O750">
        <f t="shared" si="79"/>
        <v>20</v>
      </c>
      <c r="P750" t="str">
        <f t="shared" si="80"/>
        <v>mężczyzna</v>
      </c>
      <c r="Q750">
        <f t="shared" si="81"/>
        <v>15</v>
      </c>
      <c r="R750">
        <f t="shared" si="82"/>
        <v>2</v>
      </c>
      <c r="S750">
        <f t="shared" ca="1" si="83"/>
        <v>3</v>
      </c>
    </row>
    <row r="751" spans="1:19">
      <c r="A751" s="1" t="s">
        <v>19</v>
      </c>
      <c r="B751" s="2">
        <v>300</v>
      </c>
      <c r="C751" s="1">
        <v>300</v>
      </c>
      <c r="D751" s="1" t="s">
        <v>111</v>
      </c>
      <c r="E751" s="1">
        <v>13</v>
      </c>
      <c r="F751" s="3">
        <v>611</v>
      </c>
      <c r="G751" s="1">
        <v>5</v>
      </c>
      <c r="H751" s="1" t="s">
        <v>1736</v>
      </c>
      <c r="I751" s="1" t="s">
        <v>113</v>
      </c>
      <c r="J751" s="1" t="s">
        <v>16</v>
      </c>
      <c r="K751" s="1" t="s">
        <v>1737</v>
      </c>
      <c r="L751" s="1" t="s">
        <v>1592</v>
      </c>
      <c r="M751">
        <f t="shared" si="77"/>
        <v>300</v>
      </c>
      <c r="N751" t="str">
        <f t="shared" si="78"/>
        <v>1954-06-09</v>
      </c>
      <c r="O751">
        <f t="shared" si="79"/>
        <v>57</v>
      </c>
      <c r="P751" t="str">
        <f t="shared" si="80"/>
        <v>kobieta</v>
      </c>
      <c r="Q751">
        <f t="shared" si="81"/>
        <v>141</v>
      </c>
      <c r="R751">
        <f t="shared" si="82"/>
        <v>48</v>
      </c>
      <c r="S751">
        <f t="shared" ca="1" si="83"/>
        <v>0</v>
      </c>
    </row>
    <row r="752" spans="1:19">
      <c r="A752" s="1" t="s">
        <v>19</v>
      </c>
      <c r="B752" s="2">
        <v>600</v>
      </c>
      <c r="C752" s="1">
        <v>500</v>
      </c>
      <c r="D752" s="1" t="s">
        <v>1738</v>
      </c>
      <c r="E752" s="1">
        <v>13</v>
      </c>
      <c r="F752" s="3">
        <v>1248</v>
      </c>
      <c r="G752" s="1">
        <v>0</v>
      </c>
      <c r="H752" s="1" t="s">
        <v>1739</v>
      </c>
      <c r="I752" s="1" t="s">
        <v>1740</v>
      </c>
      <c r="J752" s="1" t="s">
        <v>16</v>
      </c>
      <c r="K752" s="1" t="s">
        <v>1737</v>
      </c>
      <c r="L752" s="1" t="s">
        <v>1580</v>
      </c>
      <c r="M752">
        <f t="shared" si="77"/>
        <v>500</v>
      </c>
      <c r="N752" t="str">
        <f t="shared" si="78"/>
        <v>1936-02-22</v>
      </c>
      <c r="O752">
        <f t="shared" si="79"/>
        <v>75</v>
      </c>
      <c r="P752" t="str">
        <f t="shared" si="80"/>
        <v>kobieta</v>
      </c>
      <c r="Q752">
        <f t="shared" si="81"/>
        <v>252</v>
      </c>
      <c r="R752">
        <f t="shared" si="82"/>
        <v>48</v>
      </c>
      <c r="S752">
        <f t="shared" ca="1" si="83"/>
        <v>0</v>
      </c>
    </row>
    <row r="753" spans="1:19">
      <c r="A753" s="1" t="s">
        <v>19</v>
      </c>
      <c r="B753" s="2">
        <v>500</v>
      </c>
      <c r="C753" s="1">
        <v>500</v>
      </c>
      <c r="D753" s="1" t="s">
        <v>1213</v>
      </c>
      <c r="E753" s="1">
        <v>13</v>
      </c>
      <c r="F753" s="3">
        <v>1000</v>
      </c>
      <c r="G753" s="1">
        <v>6</v>
      </c>
      <c r="H753" s="1" t="s">
        <v>1741</v>
      </c>
      <c r="I753" s="1" t="s">
        <v>1215</v>
      </c>
      <c r="J753" s="1" t="s">
        <v>16</v>
      </c>
      <c r="K753" s="1" t="s">
        <v>1737</v>
      </c>
      <c r="L753" s="1" t="s">
        <v>1580</v>
      </c>
      <c r="M753">
        <f t="shared" si="77"/>
        <v>500</v>
      </c>
      <c r="N753" t="str">
        <f t="shared" si="78"/>
        <v>1951-02-15</v>
      </c>
      <c r="O753">
        <f t="shared" si="79"/>
        <v>60</v>
      </c>
      <c r="P753" t="str">
        <f t="shared" si="80"/>
        <v>kobieta</v>
      </c>
      <c r="Q753">
        <f t="shared" si="81"/>
        <v>70</v>
      </c>
      <c r="R753">
        <f t="shared" si="82"/>
        <v>48</v>
      </c>
      <c r="S753">
        <f t="shared" ca="1" si="83"/>
        <v>0</v>
      </c>
    </row>
    <row r="754" spans="1:19">
      <c r="A754" s="1" t="s">
        <v>19</v>
      </c>
      <c r="B754" s="2">
        <v>300</v>
      </c>
      <c r="C754" s="1">
        <v>300</v>
      </c>
      <c r="D754" s="1" t="s">
        <v>361</v>
      </c>
      <c r="E754" s="1">
        <v>12</v>
      </c>
      <c r="F754" s="3">
        <v>1000</v>
      </c>
      <c r="G754" s="1">
        <v>4</v>
      </c>
      <c r="H754" s="1" t="s">
        <v>1742</v>
      </c>
      <c r="I754" s="1" t="s">
        <v>363</v>
      </c>
      <c r="J754" s="1" t="s">
        <v>364</v>
      </c>
      <c r="K754" s="1" t="s">
        <v>1737</v>
      </c>
      <c r="L754" s="1" t="s">
        <v>1580</v>
      </c>
      <c r="M754">
        <f t="shared" si="77"/>
        <v>300</v>
      </c>
      <c r="N754" t="str">
        <f t="shared" si="78"/>
        <v>1961-12-09</v>
      </c>
      <c r="O754">
        <f t="shared" si="79"/>
        <v>50</v>
      </c>
      <c r="P754" t="str">
        <f t="shared" si="80"/>
        <v>mężczyzna</v>
      </c>
      <c r="Q754">
        <f t="shared" si="81"/>
        <v>45</v>
      </c>
      <c r="R754">
        <f t="shared" si="82"/>
        <v>17</v>
      </c>
      <c r="S754">
        <f t="shared" ca="1" si="83"/>
        <v>0</v>
      </c>
    </row>
    <row r="755" spans="1:19">
      <c r="A755" s="1" t="s">
        <v>19</v>
      </c>
      <c r="B755" s="2">
        <v>202.28</v>
      </c>
      <c r="C755" s="1">
        <v>202.28</v>
      </c>
      <c r="D755" s="1" t="s">
        <v>115</v>
      </c>
      <c r="E755" s="1">
        <v>11</v>
      </c>
      <c r="F755" s="3">
        <v>3000</v>
      </c>
      <c r="G755" s="1">
        <v>7</v>
      </c>
      <c r="H755" s="1" t="s">
        <v>1743</v>
      </c>
      <c r="I755" s="1" t="s">
        <v>117</v>
      </c>
      <c r="J755" s="1" t="s">
        <v>16</v>
      </c>
      <c r="K755" s="1" t="s">
        <v>1737</v>
      </c>
      <c r="L755" s="1" t="s">
        <v>1592</v>
      </c>
      <c r="M755">
        <f t="shared" si="77"/>
        <v>202.28</v>
      </c>
      <c r="N755" t="str">
        <f t="shared" si="78"/>
        <v>1951-04-15</v>
      </c>
      <c r="O755">
        <f t="shared" si="79"/>
        <v>60</v>
      </c>
      <c r="P755" t="str">
        <f t="shared" si="80"/>
        <v>mężczyzna</v>
      </c>
      <c r="Q755">
        <f t="shared" si="81"/>
        <v>214</v>
      </c>
      <c r="R755">
        <f t="shared" si="82"/>
        <v>48</v>
      </c>
      <c r="S755">
        <f t="shared" ca="1" si="83"/>
        <v>0</v>
      </c>
    </row>
    <row r="756" spans="1:19">
      <c r="A756" s="1" t="s">
        <v>19</v>
      </c>
      <c r="B756" s="2">
        <v>292.27999999999997</v>
      </c>
      <c r="C756" s="1">
        <v>292.27999999999997</v>
      </c>
      <c r="D756" s="1" t="s">
        <v>366</v>
      </c>
      <c r="E756" s="1">
        <v>13</v>
      </c>
      <c r="F756" s="3">
        <v>1239.98</v>
      </c>
      <c r="G756" s="1">
        <v>4</v>
      </c>
      <c r="H756" s="1" t="s">
        <v>1744</v>
      </c>
      <c r="I756" s="1" t="s">
        <v>368</v>
      </c>
      <c r="J756" s="1" t="s">
        <v>16</v>
      </c>
      <c r="K756" s="1" t="s">
        <v>1737</v>
      </c>
      <c r="L756" s="1" t="s">
        <v>1669</v>
      </c>
      <c r="M756">
        <f t="shared" si="77"/>
        <v>292.27999999999997</v>
      </c>
      <c r="N756" t="str">
        <f t="shared" si="78"/>
        <v>1933-03-29</v>
      </c>
      <c r="O756">
        <f t="shared" si="79"/>
        <v>78</v>
      </c>
      <c r="P756" t="str">
        <f t="shared" si="80"/>
        <v>kobieta</v>
      </c>
      <c r="Q756">
        <f t="shared" si="81"/>
        <v>257</v>
      </c>
      <c r="R756">
        <f t="shared" si="82"/>
        <v>48</v>
      </c>
      <c r="S756">
        <f t="shared" ca="1" si="83"/>
        <v>0</v>
      </c>
    </row>
    <row r="757" spans="1:19">
      <c r="A757" s="1" t="s">
        <v>19</v>
      </c>
      <c r="B757" s="2">
        <v>500</v>
      </c>
      <c r="C757" s="1">
        <v>400</v>
      </c>
      <c r="D757" s="1" t="s">
        <v>1745</v>
      </c>
      <c r="E757" s="1">
        <v>11</v>
      </c>
      <c r="F757" s="3">
        <v>1300</v>
      </c>
      <c r="G757" s="1">
        <v>0</v>
      </c>
      <c r="H757" s="1" t="s">
        <v>1746</v>
      </c>
      <c r="I757" s="1" t="s">
        <v>1747</v>
      </c>
      <c r="J757" s="1" t="s">
        <v>16</v>
      </c>
      <c r="K757" s="1" t="s">
        <v>1737</v>
      </c>
      <c r="L757" s="1" t="s">
        <v>1748</v>
      </c>
      <c r="M757">
        <f t="shared" si="77"/>
        <v>400</v>
      </c>
      <c r="N757" t="str">
        <f t="shared" si="78"/>
        <v>1957-01-27</v>
      </c>
      <c r="O757">
        <f t="shared" si="79"/>
        <v>54</v>
      </c>
      <c r="P757" t="str">
        <f t="shared" si="80"/>
        <v>mężczyzna</v>
      </c>
      <c r="Q757">
        <f t="shared" si="81"/>
        <v>36</v>
      </c>
      <c r="R757">
        <f t="shared" si="82"/>
        <v>48</v>
      </c>
      <c r="S757">
        <f t="shared" ca="1" si="83"/>
        <v>4</v>
      </c>
    </row>
    <row r="758" spans="1:19">
      <c r="A758" s="1" t="s">
        <v>19</v>
      </c>
      <c r="B758" s="2">
        <v>423.23</v>
      </c>
      <c r="C758" s="1">
        <v>423.23</v>
      </c>
      <c r="D758" s="1" t="s">
        <v>992</v>
      </c>
      <c r="E758" s="1">
        <v>11</v>
      </c>
      <c r="F758" s="3">
        <v>2700</v>
      </c>
      <c r="G758" s="1">
        <v>6</v>
      </c>
      <c r="H758" s="1" t="s">
        <v>1749</v>
      </c>
      <c r="I758" s="1" t="s">
        <v>994</v>
      </c>
      <c r="J758" s="1" t="s">
        <v>16</v>
      </c>
      <c r="K758" s="1" t="s">
        <v>1737</v>
      </c>
      <c r="L758" s="1" t="s">
        <v>1750</v>
      </c>
      <c r="M758">
        <f t="shared" si="77"/>
        <v>423.23</v>
      </c>
      <c r="N758" t="str">
        <f t="shared" si="78"/>
        <v>1980-02-22</v>
      </c>
      <c r="O758">
        <f t="shared" si="79"/>
        <v>31</v>
      </c>
      <c r="P758" t="str">
        <f t="shared" si="80"/>
        <v>mężczyzna</v>
      </c>
      <c r="Q758">
        <f t="shared" si="81"/>
        <v>17</v>
      </c>
      <c r="R758">
        <f t="shared" si="82"/>
        <v>48</v>
      </c>
      <c r="S758">
        <f t="shared" ca="1" si="83"/>
        <v>14</v>
      </c>
    </row>
    <row r="759" spans="1:19">
      <c r="A759" s="1" t="s">
        <v>19</v>
      </c>
      <c r="B759" s="2">
        <v>600</v>
      </c>
      <c r="C759" s="1">
        <v>600</v>
      </c>
      <c r="D759" s="1" t="s">
        <v>516</v>
      </c>
      <c r="E759" s="1">
        <v>11</v>
      </c>
      <c r="F759" s="3">
        <v>1443</v>
      </c>
      <c r="G759" s="1">
        <v>1</v>
      </c>
      <c r="H759" s="1" t="s">
        <v>1751</v>
      </c>
      <c r="I759" s="1" t="s">
        <v>62</v>
      </c>
      <c r="J759" s="1" t="s">
        <v>16</v>
      </c>
      <c r="K759" s="1" t="s">
        <v>1737</v>
      </c>
      <c r="L759" s="1" t="s">
        <v>1638</v>
      </c>
      <c r="M759">
        <f t="shared" si="77"/>
        <v>600</v>
      </c>
      <c r="N759" t="str">
        <f t="shared" si="78"/>
        <v>1968-06-20</v>
      </c>
      <c r="O759">
        <f t="shared" si="79"/>
        <v>43</v>
      </c>
      <c r="P759" t="str">
        <f t="shared" si="80"/>
        <v>kobieta</v>
      </c>
      <c r="Q759">
        <f t="shared" si="81"/>
        <v>36</v>
      </c>
      <c r="R759">
        <f t="shared" si="82"/>
        <v>48</v>
      </c>
      <c r="S759">
        <f t="shared" ca="1" si="83"/>
        <v>1</v>
      </c>
    </row>
    <row r="760" spans="1:19">
      <c r="A760" s="1" t="s">
        <v>19</v>
      </c>
      <c r="B760" s="2">
        <v>400</v>
      </c>
      <c r="C760" s="1">
        <v>400</v>
      </c>
      <c r="D760" s="1" t="s">
        <v>253</v>
      </c>
      <c r="E760" s="1">
        <v>12</v>
      </c>
      <c r="F760" s="3">
        <v>1700</v>
      </c>
      <c r="G760" s="1">
        <v>7</v>
      </c>
      <c r="H760" s="1" t="s">
        <v>1752</v>
      </c>
      <c r="I760" s="1" t="s">
        <v>255</v>
      </c>
      <c r="J760" s="1" t="s">
        <v>1279</v>
      </c>
      <c r="K760" s="1" t="s">
        <v>1737</v>
      </c>
      <c r="L760" s="1" t="s">
        <v>1580</v>
      </c>
      <c r="M760">
        <f t="shared" si="77"/>
        <v>400</v>
      </c>
      <c r="N760" t="str">
        <f t="shared" si="78"/>
        <v>1957-06-27</v>
      </c>
      <c r="O760">
        <f t="shared" si="79"/>
        <v>54</v>
      </c>
      <c r="P760" t="str">
        <f t="shared" si="80"/>
        <v>kobieta</v>
      </c>
      <c r="Q760">
        <f t="shared" si="81"/>
        <v>57</v>
      </c>
      <c r="R760">
        <f t="shared" si="82"/>
        <v>0</v>
      </c>
      <c r="S760">
        <f t="shared" ca="1" si="83"/>
        <v>0</v>
      </c>
    </row>
    <row r="761" spans="1:19">
      <c r="A761" s="1" t="s">
        <v>19</v>
      </c>
      <c r="B761" s="2">
        <v>200</v>
      </c>
      <c r="C761" s="1">
        <v>200</v>
      </c>
      <c r="D761" s="1" t="s">
        <v>1753</v>
      </c>
      <c r="E761" s="1">
        <v>11</v>
      </c>
      <c r="F761" s="3">
        <v>1800</v>
      </c>
      <c r="G761" s="1">
        <v>0</v>
      </c>
      <c r="H761" s="1" t="s">
        <v>1754</v>
      </c>
      <c r="I761" s="1" t="s">
        <v>1755</v>
      </c>
      <c r="J761" s="1" t="s">
        <v>16</v>
      </c>
      <c r="K761" s="1" t="s">
        <v>1737</v>
      </c>
      <c r="L761" s="1" t="s">
        <v>1580</v>
      </c>
      <c r="M761">
        <f t="shared" si="77"/>
        <v>200</v>
      </c>
      <c r="N761" t="str">
        <f t="shared" si="78"/>
        <v>1954-08-25</v>
      </c>
      <c r="O761">
        <f t="shared" si="79"/>
        <v>57</v>
      </c>
      <c r="P761" t="str">
        <f t="shared" si="80"/>
        <v>mężczyzna</v>
      </c>
      <c r="Q761">
        <f t="shared" si="81"/>
        <v>163</v>
      </c>
      <c r="R761">
        <f t="shared" si="82"/>
        <v>48</v>
      </c>
      <c r="S761">
        <f t="shared" ca="1" si="83"/>
        <v>0</v>
      </c>
    </row>
    <row r="762" spans="1:19">
      <c r="A762" s="1" t="s">
        <v>19</v>
      </c>
      <c r="B762" s="2">
        <v>204.78</v>
      </c>
      <c r="C762" s="1">
        <v>204.78</v>
      </c>
      <c r="D762" s="1" t="s">
        <v>1106</v>
      </c>
      <c r="E762" s="1">
        <v>11</v>
      </c>
      <c r="F762" s="3">
        <v>1888.27</v>
      </c>
      <c r="G762" s="1">
        <v>1</v>
      </c>
      <c r="H762" s="1" t="s">
        <v>1756</v>
      </c>
      <c r="I762" s="1" t="s">
        <v>1108</v>
      </c>
      <c r="J762" s="1" t="s">
        <v>16</v>
      </c>
      <c r="K762" s="1" t="s">
        <v>1737</v>
      </c>
      <c r="L762" s="1" t="s">
        <v>1728</v>
      </c>
      <c r="M762">
        <f t="shared" si="77"/>
        <v>204.78</v>
      </c>
      <c r="N762" t="str">
        <f t="shared" si="78"/>
        <v>1982-06-15</v>
      </c>
      <c r="O762">
        <f t="shared" si="79"/>
        <v>29</v>
      </c>
      <c r="P762" t="str">
        <f t="shared" si="80"/>
        <v>mężczyzna</v>
      </c>
      <c r="Q762">
        <f t="shared" si="81"/>
        <v>79</v>
      </c>
      <c r="R762">
        <f t="shared" si="82"/>
        <v>48</v>
      </c>
      <c r="S762">
        <f t="shared" ca="1" si="83"/>
        <v>8</v>
      </c>
    </row>
    <row r="763" spans="1:19">
      <c r="A763" s="1" t="s">
        <v>24</v>
      </c>
      <c r="B763" s="2">
        <v>500</v>
      </c>
      <c r="C763" s="1">
        <v>0</v>
      </c>
      <c r="D763" s="1" t="s">
        <v>1757</v>
      </c>
      <c r="E763" s="1">
        <v>13</v>
      </c>
      <c r="F763" s="3">
        <v>740</v>
      </c>
      <c r="G763" s="1">
        <v>0</v>
      </c>
      <c r="H763" s="1" t="s">
        <v>1758</v>
      </c>
      <c r="I763" s="1" t="s">
        <v>1759</v>
      </c>
      <c r="J763" s="1" t="s">
        <v>16</v>
      </c>
      <c r="K763" s="1" t="s">
        <v>16</v>
      </c>
      <c r="L763" s="1" t="s">
        <v>28</v>
      </c>
      <c r="M763">
        <f t="shared" si="77"/>
        <v>500</v>
      </c>
      <c r="N763" t="str">
        <f t="shared" si="78"/>
        <v>1953-04-26</v>
      </c>
      <c r="O763">
        <f t="shared" si="79"/>
        <v>58</v>
      </c>
      <c r="P763" t="str">
        <f t="shared" si="80"/>
        <v>mężczyzna</v>
      </c>
      <c r="Q763">
        <f t="shared" si="81"/>
        <v>253</v>
      </c>
      <c r="R763">
        <f t="shared" si="82"/>
        <v>48</v>
      </c>
      <c r="S763">
        <f t="shared" ca="1" si="83"/>
        <v>0</v>
      </c>
    </row>
    <row r="764" spans="1:19">
      <c r="A764" s="1" t="s">
        <v>19</v>
      </c>
      <c r="B764" s="2">
        <v>200</v>
      </c>
      <c r="C764" s="1">
        <v>200</v>
      </c>
      <c r="D764" s="1" t="s">
        <v>134</v>
      </c>
      <c r="E764" s="1">
        <v>13</v>
      </c>
      <c r="F764" s="3">
        <v>616</v>
      </c>
      <c r="G764" s="1">
        <v>6</v>
      </c>
      <c r="H764" s="1" t="s">
        <v>1760</v>
      </c>
      <c r="I764" s="1" t="s">
        <v>136</v>
      </c>
      <c r="J764" s="1" t="s">
        <v>16</v>
      </c>
      <c r="K764" s="1" t="s">
        <v>1737</v>
      </c>
      <c r="L764" s="1" t="s">
        <v>1638</v>
      </c>
      <c r="M764">
        <f t="shared" si="77"/>
        <v>200</v>
      </c>
      <c r="N764" t="str">
        <f t="shared" si="78"/>
        <v>1936-04-22</v>
      </c>
      <c r="O764">
        <f t="shared" si="79"/>
        <v>75</v>
      </c>
      <c r="P764" t="str">
        <f t="shared" si="80"/>
        <v>kobieta</v>
      </c>
      <c r="Q764">
        <f t="shared" si="81"/>
        <v>248</v>
      </c>
      <c r="R764">
        <f t="shared" si="82"/>
        <v>48</v>
      </c>
      <c r="S764">
        <f t="shared" ca="1" si="83"/>
        <v>1</v>
      </c>
    </row>
    <row r="765" spans="1:19">
      <c r="A765" s="1" t="s">
        <v>19</v>
      </c>
      <c r="B765" s="2">
        <v>600</v>
      </c>
      <c r="C765" s="1">
        <v>600</v>
      </c>
      <c r="D765" s="1" t="s">
        <v>1247</v>
      </c>
      <c r="E765" s="1">
        <v>12</v>
      </c>
      <c r="F765" s="3">
        <v>3500</v>
      </c>
      <c r="G765" s="1">
        <v>1</v>
      </c>
      <c r="H765" s="1" t="s">
        <v>1761</v>
      </c>
      <c r="I765" s="1" t="s">
        <v>1249</v>
      </c>
      <c r="J765" s="1" t="s">
        <v>1250</v>
      </c>
      <c r="K765" s="1" t="s">
        <v>1737</v>
      </c>
      <c r="L765" s="1" t="s">
        <v>1568</v>
      </c>
      <c r="M765">
        <f t="shared" si="77"/>
        <v>600</v>
      </c>
      <c r="N765" t="str">
        <f t="shared" si="78"/>
        <v>1966-03-25</v>
      </c>
      <c r="O765">
        <f t="shared" si="79"/>
        <v>45</v>
      </c>
      <c r="P765" t="str">
        <f t="shared" si="80"/>
        <v>mężczyzna</v>
      </c>
      <c r="Q765">
        <f t="shared" si="81"/>
        <v>189</v>
      </c>
      <c r="R765">
        <f t="shared" si="82"/>
        <v>27</v>
      </c>
      <c r="S765">
        <f t="shared" ca="1" si="83"/>
        <v>2</v>
      </c>
    </row>
    <row r="766" spans="1:19">
      <c r="A766" s="1" t="s">
        <v>24</v>
      </c>
      <c r="B766" s="2">
        <v>500</v>
      </c>
      <c r="C766" s="1">
        <v>0</v>
      </c>
      <c r="D766" s="1" t="s">
        <v>1762</v>
      </c>
      <c r="E766" s="1">
        <v>13</v>
      </c>
      <c r="F766" s="3">
        <v>955</v>
      </c>
      <c r="G766" s="1">
        <v>0</v>
      </c>
      <c r="H766" s="1" t="s">
        <v>1763</v>
      </c>
      <c r="I766" s="1" t="s">
        <v>360</v>
      </c>
      <c r="J766" s="1" t="s">
        <v>16</v>
      </c>
      <c r="K766" s="1" t="s">
        <v>16</v>
      </c>
      <c r="L766" s="1" t="s">
        <v>28</v>
      </c>
      <c r="M766">
        <f t="shared" si="77"/>
        <v>500</v>
      </c>
      <c r="N766" t="str">
        <f t="shared" si="78"/>
        <v>1950-02-14</v>
      </c>
      <c r="O766">
        <f t="shared" si="79"/>
        <v>61</v>
      </c>
      <c r="P766" t="str">
        <f t="shared" si="80"/>
        <v>kobieta</v>
      </c>
      <c r="Q766">
        <f t="shared" si="81"/>
        <v>3</v>
      </c>
      <c r="R766">
        <f t="shared" si="82"/>
        <v>48</v>
      </c>
      <c r="S766">
        <f t="shared" ca="1" si="83"/>
        <v>0</v>
      </c>
    </row>
    <row r="767" spans="1:19">
      <c r="A767" s="1" t="s">
        <v>19</v>
      </c>
      <c r="B767" s="2">
        <v>600</v>
      </c>
      <c r="C767" s="1">
        <v>600</v>
      </c>
      <c r="D767" s="1" t="s">
        <v>409</v>
      </c>
      <c r="E767" s="1">
        <v>13</v>
      </c>
      <c r="F767" s="3">
        <v>1050</v>
      </c>
      <c r="G767" s="1">
        <v>7</v>
      </c>
      <c r="H767" s="1" t="s">
        <v>1764</v>
      </c>
      <c r="I767" s="1" t="s">
        <v>411</v>
      </c>
      <c r="J767" s="1" t="s">
        <v>16</v>
      </c>
      <c r="K767" s="1" t="s">
        <v>1765</v>
      </c>
      <c r="L767" s="1" t="s">
        <v>1568</v>
      </c>
      <c r="M767">
        <f t="shared" si="77"/>
        <v>600</v>
      </c>
      <c r="N767" t="str">
        <f t="shared" si="78"/>
        <v>1950-08-20</v>
      </c>
      <c r="O767">
        <f t="shared" si="79"/>
        <v>61</v>
      </c>
      <c r="P767" t="str">
        <f t="shared" si="80"/>
        <v>kobieta</v>
      </c>
      <c r="Q767">
        <f t="shared" si="81"/>
        <v>141</v>
      </c>
      <c r="R767">
        <f t="shared" si="82"/>
        <v>48</v>
      </c>
      <c r="S767">
        <f t="shared" ca="1" si="83"/>
        <v>0</v>
      </c>
    </row>
    <row r="768" spans="1:19">
      <c r="A768" s="1" t="s">
        <v>19</v>
      </c>
      <c r="B768" s="2">
        <v>200</v>
      </c>
      <c r="C768" s="1">
        <v>200</v>
      </c>
      <c r="D768" s="1" t="s">
        <v>320</v>
      </c>
      <c r="E768" s="1">
        <v>13</v>
      </c>
      <c r="F768" s="3">
        <v>722.05</v>
      </c>
      <c r="G768" s="1">
        <v>6</v>
      </c>
      <c r="H768" s="1" t="s">
        <v>1766</v>
      </c>
      <c r="I768" s="1" t="s">
        <v>322</v>
      </c>
      <c r="J768" s="1" t="s">
        <v>16</v>
      </c>
      <c r="K768" s="1" t="s">
        <v>1765</v>
      </c>
      <c r="L768" s="1" t="s">
        <v>1500</v>
      </c>
      <c r="M768">
        <f t="shared" si="77"/>
        <v>200</v>
      </c>
      <c r="N768" t="str">
        <f t="shared" si="78"/>
        <v>1940-07-28</v>
      </c>
      <c r="O768">
        <f t="shared" si="79"/>
        <v>71</v>
      </c>
      <c r="P768" t="str">
        <f t="shared" si="80"/>
        <v>kobieta</v>
      </c>
      <c r="Q768">
        <f t="shared" si="81"/>
        <v>199</v>
      </c>
      <c r="R768">
        <f t="shared" si="82"/>
        <v>48</v>
      </c>
      <c r="S768">
        <f t="shared" ca="1" si="83"/>
        <v>1</v>
      </c>
    </row>
    <row r="769" spans="1:19">
      <c r="A769" s="1" t="s">
        <v>24</v>
      </c>
      <c r="B769" s="2">
        <v>900</v>
      </c>
      <c r="C769" s="1">
        <v>0</v>
      </c>
      <c r="D769" s="1" t="s">
        <v>1767</v>
      </c>
      <c r="E769" s="1">
        <v>11</v>
      </c>
      <c r="F769" s="3">
        <v>1440</v>
      </c>
      <c r="G769" s="1">
        <v>0</v>
      </c>
      <c r="H769" s="1" t="s">
        <v>1768</v>
      </c>
      <c r="I769" s="1" t="s">
        <v>1085</v>
      </c>
      <c r="J769" s="1" t="s">
        <v>16</v>
      </c>
      <c r="K769" s="1" t="s">
        <v>16</v>
      </c>
      <c r="L769" s="1" t="s">
        <v>28</v>
      </c>
      <c r="M769">
        <f t="shared" si="77"/>
        <v>900</v>
      </c>
      <c r="N769" t="str">
        <f t="shared" si="78"/>
        <v>1985-07-15</v>
      </c>
      <c r="O769">
        <f t="shared" si="79"/>
        <v>26</v>
      </c>
      <c r="P769" t="str">
        <f t="shared" si="80"/>
        <v>kobieta</v>
      </c>
      <c r="Q769">
        <f t="shared" si="81"/>
        <v>24</v>
      </c>
      <c r="R769">
        <f t="shared" si="82"/>
        <v>48</v>
      </c>
      <c r="S769">
        <f t="shared" ca="1" si="83"/>
        <v>0</v>
      </c>
    </row>
    <row r="770" spans="1:19">
      <c r="A770" s="1" t="s">
        <v>19</v>
      </c>
      <c r="B770" s="2">
        <v>800</v>
      </c>
      <c r="C770" s="1">
        <v>800</v>
      </c>
      <c r="D770" s="1" t="s">
        <v>243</v>
      </c>
      <c r="E770" s="1">
        <v>12</v>
      </c>
      <c r="F770" s="3">
        <v>2500</v>
      </c>
      <c r="G770" s="1">
        <v>5</v>
      </c>
      <c r="H770" s="1" t="s">
        <v>1769</v>
      </c>
      <c r="I770" s="1" t="s">
        <v>245</v>
      </c>
      <c r="J770" s="1" t="s">
        <v>246</v>
      </c>
      <c r="K770" s="1" t="s">
        <v>1765</v>
      </c>
      <c r="L770" s="1" t="s">
        <v>1500</v>
      </c>
      <c r="M770">
        <f t="shared" si="77"/>
        <v>800</v>
      </c>
      <c r="N770" t="str">
        <f t="shared" si="78"/>
        <v>1954-03-09</v>
      </c>
      <c r="O770">
        <f t="shared" si="79"/>
        <v>57</v>
      </c>
      <c r="P770" t="str">
        <f t="shared" si="80"/>
        <v>mężczyzna</v>
      </c>
      <c r="Q770">
        <f t="shared" si="81"/>
        <v>7</v>
      </c>
      <c r="R770">
        <f t="shared" si="82"/>
        <v>3</v>
      </c>
      <c r="S770">
        <f t="shared" ca="1" si="83"/>
        <v>1</v>
      </c>
    </row>
    <row r="771" spans="1:19">
      <c r="A771" s="1" t="s">
        <v>19</v>
      </c>
      <c r="B771" s="2">
        <v>600</v>
      </c>
      <c r="C771" s="1">
        <v>600</v>
      </c>
      <c r="D771" s="1" t="s">
        <v>119</v>
      </c>
      <c r="E771" s="1">
        <v>11</v>
      </c>
      <c r="F771" s="3">
        <v>1290</v>
      </c>
      <c r="G771" s="1">
        <v>6</v>
      </c>
      <c r="H771" s="1" t="s">
        <v>1770</v>
      </c>
      <c r="I771" s="1" t="s">
        <v>121</v>
      </c>
      <c r="J771" s="1" t="s">
        <v>16</v>
      </c>
      <c r="K771" s="1" t="s">
        <v>1765</v>
      </c>
      <c r="L771" s="1" t="s">
        <v>1728</v>
      </c>
      <c r="M771">
        <f t="shared" ref="M771:M834" si="84">IF(A771="odmowa", B771,C771)</f>
        <v>600</v>
      </c>
      <c r="N771" t="str">
        <f t="shared" ref="N771:N834" si="85">CONCATENATE("19", MID(D771, 1, 2), "-", MID(D771, 3, 2), "-", MID(D771, 5, 2))</f>
        <v>1979-06-17</v>
      </c>
      <c r="O771">
        <f t="shared" ref="O771:O834" si="86">YEAR(H771) - YEAR(N771)</f>
        <v>32</v>
      </c>
      <c r="P771" t="str">
        <f t="shared" ref="P771:P834" si="87">IF(MOD(MID(D771, 10, 1), 2)=0, "kobieta", "mężczyzna")</f>
        <v>kobieta</v>
      </c>
      <c r="Q771">
        <f t="shared" ref="Q771:Q834" si="88">(YEAR(H771) - YEAR(I771)) * 12 + MONTH(H771) - MONTH(I771)</f>
        <v>21</v>
      </c>
      <c r="R771">
        <f t="shared" ref="R771:R834" si="89">IF(LEFT(J771, 4)="0000", 48, MIN(48, (YEAR(J771) - YEAR(H771)) * 12 + MONTH(J771) - MONTH(H771)))</f>
        <v>48</v>
      </c>
      <c r="S771">
        <f t="shared" ref="S771:S834" ca="1" si="90">IF(LEFT(K771, 4)="0000", 0, IF(LEFT(L771, 4)="0000", MAX(0, TODAY() - K771), MAX(0, L771 - K771)))</f>
        <v>6</v>
      </c>
    </row>
    <row r="772" spans="1:19">
      <c r="A772" s="1" t="s">
        <v>19</v>
      </c>
      <c r="B772" s="2">
        <v>360.31</v>
      </c>
      <c r="C772" s="1">
        <v>360.31</v>
      </c>
      <c r="D772" s="1" t="s">
        <v>1160</v>
      </c>
      <c r="E772" s="1">
        <v>11</v>
      </c>
      <c r="F772" s="3">
        <v>2927</v>
      </c>
      <c r="G772" s="1">
        <v>5</v>
      </c>
      <c r="H772" s="1" t="s">
        <v>1771</v>
      </c>
      <c r="I772" s="1" t="s">
        <v>157</v>
      </c>
      <c r="J772" s="1" t="s">
        <v>16</v>
      </c>
      <c r="K772" s="1" t="s">
        <v>1765</v>
      </c>
      <c r="L772" s="1" t="s">
        <v>1748</v>
      </c>
      <c r="M772">
        <f t="shared" si="84"/>
        <v>360.31</v>
      </c>
      <c r="N772" t="str">
        <f t="shared" si="85"/>
        <v>1973-07-09</v>
      </c>
      <c r="O772">
        <f t="shared" si="86"/>
        <v>38</v>
      </c>
      <c r="P772" t="str">
        <f t="shared" si="87"/>
        <v>kobieta</v>
      </c>
      <c r="Q772">
        <f t="shared" si="88"/>
        <v>203</v>
      </c>
      <c r="R772">
        <f t="shared" si="89"/>
        <v>48</v>
      </c>
      <c r="S772">
        <f t="shared" ca="1" si="90"/>
        <v>2</v>
      </c>
    </row>
    <row r="773" spans="1:19">
      <c r="A773" s="1" t="s">
        <v>24</v>
      </c>
      <c r="B773" s="2">
        <v>200</v>
      </c>
      <c r="C773" s="1">
        <v>0</v>
      </c>
      <c r="D773" s="1" t="s">
        <v>1772</v>
      </c>
      <c r="E773" s="1">
        <v>13</v>
      </c>
      <c r="F773" s="3">
        <v>1440</v>
      </c>
      <c r="G773" s="1">
        <v>0</v>
      </c>
      <c r="H773" s="1" t="s">
        <v>1773</v>
      </c>
      <c r="I773" s="1" t="s">
        <v>1774</v>
      </c>
      <c r="J773" s="1" t="s">
        <v>16</v>
      </c>
      <c r="K773" s="1" t="s">
        <v>16</v>
      </c>
      <c r="L773" s="1" t="s">
        <v>28</v>
      </c>
      <c r="M773">
        <f t="shared" si="84"/>
        <v>200</v>
      </c>
      <c r="N773" t="str">
        <f t="shared" si="85"/>
        <v>1950-12-21</v>
      </c>
      <c r="O773">
        <f t="shared" si="86"/>
        <v>61</v>
      </c>
      <c r="P773" t="str">
        <f t="shared" si="87"/>
        <v>kobieta</v>
      </c>
      <c r="Q773">
        <f t="shared" si="88"/>
        <v>156</v>
      </c>
      <c r="R773">
        <f t="shared" si="89"/>
        <v>48</v>
      </c>
      <c r="S773">
        <f t="shared" ca="1" si="90"/>
        <v>0</v>
      </c>
    </row>
    <row r="774" spans="1:19">
      <c r="A774" s="1" t="s">
        <v>19</v>
      </c>
      <c r="B774" s="2">
        <v>300</v>
      </c>
      <c r="C774" s="1">
        <v>300</v>
      </c>
      <c r="D774" s="1" t="s">
        <v>67</v>
      </c>
      <c r="E774" s="1">
        <v>13</v>
      </c>
      <c r="F774" s="3">
        <v>1428.55</v>
      </c>
      <c r="G774" s="1">
        <v>0</v>
      </c>
      <c r="H774" s="1" t="s">
        <v>1775</v>
      </c>
      <c r="I774" s="1" t="s">
        <v>69</v>
      </c>
      <c r="J774" s="1" t="s">
        <v>16</v>
      </c>
      <c r="K774" s="1" t="s">
        <v>1776</v>
      </c>
      <c r="L774" s="1" t="s">
        <v>1500</v>
      </c>
      <c r="M774">
        <f t="shared" si="84"/>
        <v>300</v>
      </c>
      <c r="N774" t="str">
        <f t="shared" si="85"/>
        <v>1945-05-17</v>
      </c>
      <c r="O774">
        <f t="shared" si="86"/>
        <v>66</v>
      </c>
      <c r="P774" t="str">
        <f t="shared" si="87"/>
        <v>kobieta</v>
      </c>
      <c r="Q774">
        <f t="shared" si="88"/>
        <v>139</v>
      </c>
      <c r="R774">
        <f t="shared" si="89"/>
        <v>48</v>
      </c>
      <c r="S774">
        <f t="shared" ca="1" si="90"/>
        <v>0</v>
      </c>
    </row>
    <row r="775" spans="1:19">
      <c r="A775" s="1" t="s">
        <v>19</v>
      </c>
      <c r="B775" s="2">
        <v>300</v>
      </c>
      <c r="C775" s="1">
        <v>300</v>
      </c>
      <c r="D775" s="1" t="s">
        <v>1199</v>
      </c>
      <c r="E775" s="1">
        <v>11</v>
      </c>
      <c r="F775" s="3">
        <v>1590</v>
      </c>
      <c r="G775" s="1">
        <v>1</v>
      </c>
      <c r="H775" s="1" t="s">
        <v>1777</v>
      </c>
      <c r="I775" s="1" t="s">
        <v>1201</v>
      </c>
      <c r="J775" s="1" t="s">
        <v>16</v>
      </c>
      <c r="K775" s="1" t="s">
        <v>1776</v>
      </c>
      <c r="L775" s="1" t="s">
        <v>1778</v>
      </c>
      <c r="M775">
        <f t="shared" si="84"/>
        <v>300</v>
      </c>
      <c r="N775" t="str">
        <f t="shared" si="85"/>
        <v>1982-12-12</v>
      </c>
      <c r="O775">
        <f t="shared" si="86"/>
        <v>29</v>
      </c>
      <c r="P775" t="str">
        <f t="shared" si="87"/>
        <v>mężczyzna</v>
      </c>
      <c r="Q775">
        <f t="shared" si="88"/>
        <v>55</v>
      </c>
      <c r="R775">
        <f t="shared" si="89"/>
        <v>48</v>
      </c>
      <c r="S775">
        <f t="shared" ca="1" si="90"/>
        <v>7</v>
      </c>
    </row>
    <row r="776" spans="1:19">
      <c r="A776" s="1" t="s">
        <v>19</v>
      </c>
      <c r="B776" s="2">
        <v>700</v>
      </c>
      <c r="C776" s="1">
        <v>700</v>
      </c>
      <c r="D776" s="1" t="s">
        <v>126</v>
      </c>
      <c r="E776" s="1">
        <v>12</v>
      </c>
      <c r="F776" s="3">
        <v>830.46</v>
      </c>
      <c r="G776" s="1">
        <v>5</v>
      </c>
      <c r="H776" s="1" t="s">
        <v>1779</v>
      </c>
      <c r="I776" s="1" t="s">
        <v>128</v>
      </c>
      <c r="J776" s="1" t="s">
        <v>129</v>
      </c>
      <c r="K776" s="1" t="s">
        <v>1776</v>
      </c>
      <c r="L776" s="1" t="s">
        <v>1500</v>
      </c>
      <c r="M776">
        <f t="shared" si="84"/>
        <v>700</v>
      </c>
      <c r="N776" t="str">
        <f t="shared" si="85"/>
        <v>1964-04-12</v>
      </c>
      <c r="O776">
        <f t="shared" si="86"/>
        <v>47</v>
      </c>
      <c r="P776" t="str">
        <f t="shared" si="87"/>
        <v>kobieta</v>
      </c>
      <c r="Q776">
        <f t="shared" si="88"/>
        <v>47</v>
      </c>
      <c r="R776">
        <f t="shared" si="89"/>
        <v>24</v>
      </c>
      <c r="S776">
        <f t="shared" ca="1" si="90"/>
        <v>0</v>
      </c>
    </row>
    <row r="777" spans="1:19">
      <c r="A777" s="1" t="s">
        <v>309</v>
      </c>
      <c r="B777" s="2">
        <v>563.44000000000005</v>
      </c>
      <c r="C777" s="1">
        <v>563.44000000000005</v>
      </c>
      <c r="D777" s="1" t="s">
        <v>1088</v>
      </c>
      <c r="E777" s="1">
        <v>13</v>
      </c>
      <c r="F777" s="3">
        <v>2000</v>
      </c>
      <c r="G777" s="1">
        <v>1</v>
      </c>
      <c r="H777" s="1" t="s">
        <v>1780</v>
      </c>
      <c r="I777" s="1" t="s">
        <v>1090</v>
      </c>
      <c r="J777" s="1" t="s">
        <v>16</v>
      </c>
      <c r="K777" s="1" t="s">
        <v>1776</v>
      </c>
      <c r="L777" s="1" t="s">
        <v>1781</v>
      </c>
      <c r="M777">
        <f t="shared" si="84"/>
        <v>563.44000000000005</v>
      </c>
      <c r="N777" t="str">
        <f t="shared" si="85"/>
        <v>1943-01-22</v>
      </c>
      <c r="O777">
        <f t="shared" si="86"/>
        <v>68</v>
      </c>
      <c r="P777" t="str">
        <f t="shared" si="87"/>
        <v>mężczyzna</v>
      </c>
      <c r="Q777">
        <f t="shared" si="88"/>
        <v>47</v>
      </c>
      <c r="R777">
        <f t="shared" si="89"/>
        <v>48</v>
      </c>
      <c r="S777">
        <f t="shared" ca="1" si="90"/>
        <v>285</v>
      </c>
    </row>
    <row r="778" spans="1:19">
      <c r="A778" s="1" t="s">
        <v>19</v>
      </c>
      <c r="B778" s="2">
        <v>2000</v>
      </c>
      <c r="C778" s="1">
        <v>2000</v>
      </c>
      <c r="D778" s="1" t="s">
        <v>1782</v>
      </c>
      <c r="E778" s="1">
        <v>98</v>
      </c>
      <c r="F778" s="3">
        <v>20000</v>
      </c>
      <c r="G778" s="1">
        <v>0</v>
      </c>
      <c r="H778" s="1" t="s">
        <v>1783</v>
      </c>
      <c r="I778" s="1" t="s">
        <v>1784</v>
      </c>
      <c r="J778" s="1" t="s">
        <v>16</v>
      </c>
      <c r="K778" s="1" t="s">
        <v>1776</v>
      </c>
      <c r="L778" s="1" t="s">
        <v>1785</v>
      </c>
      <c r="M778">
        <f t="shared" si="84"/>
        <v>2000</v>
      </c>
      <c r="N778" t="str">
        <f t="shared" si="85"/>
        <v>1954-01-22</v>
      </c>
      <c r="O778">
        <f t="shared" si="86"/>
        <v>57</v>
      </c>
      <c r="P778" t="str">
        <f t="shared" si="87"/>
        <v>mężczyzna</v>
      </c>
      <c r="Q778">
        <f t="shared" si="88"/>
        <v>132</v>
      </c>
      <c r="R778">
        <f t="shared" si="89"/>
        <v>48</v>
      </c>
      <c r="S778">
        <f t="shared" ca="1" si="90"/>
        <v>12</v>
      </c>
    </row>
    <row r="779" spans="1:19">
      <c r="A779" s="1" t="s">
        <v>12</v>
      </c>
      <c r="B779" s="2">
        <v>300</v>
      </c>
      <c r="C779" s="1">
        <v>300</v>
      </c>
      <c r="D779" s="1" t="s">
        <v>502</v>
      </c>
      <c r="E779" s="1">
        <v>13</v>
      </c>
      <c r="F779" s="3">
        <v>1442.43</v>
      </c>
      <c r="G779" s="1">
        <v>2</v>
      </c>
      <c r="H779" s="1" t="s">
        <v>1786</v>
      </c>
      <c r="I779" s="1" t="s">
        <v>356</v>
      </c>
      <c r="J779" s="1" t="s">
        <v>16</v>
      </c>
      <c r="K779" s="1" t="s">
        <v>1776</v>
      </c>
      <c r="L779" s="1" t="s">
        <v>1638</v>
      </c>
      <c r="M779">
        <f t="shared" si="84"/>
        <v>300</v>
      </c>
      <c r="N779" t="str">
        <f t="shared" si="85"/>
        <v>1932-02-07</v>
      </c>
      <c r="O779">
        <f t="shared" si="86"/>
        <v>79</v>
      </c>
      <c r="P779" t="str">
        <f t="shared" si="87"/>
        <v>kobieta</v>
      </c>
      <c r="Q779">
        <f t="shared" si="88"/>
        <v>143</v>
      </c>
      <c r="R779">
        <f t="shared" si="89"/>
        <v>48</v>
      </c>
      <c r="S779">
        <f t="shared" ca="1" si="90"/>
        <v>0</v>
      </c>
    </row>
    <row r="780" spans="1:19">
      <c r="A780" s="1" t="s">
        <v>19</v>
      </c>
      <c r="B780" s="2">
        <v>200</v>
      </c>
      <c r="C780" s="1">
        <v>200</v>
      </c>
      <c r="D780" s="1" t="s">
        <v>407</v>
      </c>
      <c r="E780" s="1">
        <v>13</v>
      </c>
      <c r="F780" s="3">
        <v>785</v>
      </c>
      <c r="G780" s="1">
        <v>3</v>
      </c>
      <c r="H780" s="1" t="s">
        <v>1787</v>
      </c>
      <c r="I780" s="1" t="s">
        <v>266</v>
      </c>
      <c r="J780" s="1" t="s">
        <v>16</v>
      </c>
      <c r="K780" s="1" t="s">
        <v>1776</v>
      </c>
      <c r="L780" s="1" t="s">
        <v>1500</v>
      </c>
      <c r="M780">
        <f t="shared" si="84"/>
        <v>200</v>
      </c>
      <c r="N780" t="str">
        <f t="shared" si="85"/>
        <v>1939-11-08</v>
      </c>
      <c r="O780">
        <f t="shared" si="86"/>
        <v>72</v>
      </c>
      <c r="P780" t="str">
        <f t="shared" si="87"/>
        <v>kobieta</v>
      </c>
      <c r="Q780">
        <f t="shared" si="88"/>
        <v>66</v>
      </c>
      <c r="R780">
        <f t="shared" si="89"/>
        <v>48</v>
      </c>
      <c r="S780">
        <f t="shared" ca="1" si="90"/>
        <v>0</v>
      </c>
    </row>
    <row r="781" spans="1:19">
      <c r="A781" s="1" t="s">
        <v>19</v>
      </c>
      <c r="B781" s="2">
        <v>200</v>
      </c>
      <c r="C781" s="1">
        <v>200</v>
      </c>
      <c r="D781" s="1" t="s">
        <v>752</v>
      </c>
      <c r="E781" s="1">
        <v>12</v>
      </c>
      <c r="F781" s="3">
        <v>1400</v>
      </c>
      <c r="G781" s="1">
        <v>1</v>
      </c>
      <c r="H781" s="1" t="s">
        <v>1788</v>
      </c>
      <c r="I781" s="1" t="s">
        <v>754</v>
      </c>
      <c r="J781" s="1" t="s">
        <v>1180</v>
      </c>
      <c r="K781" s="1" t="s">
        <v>1776</v>
      </c>
      <c r="L781" s="1" t="s">
        <v>1500</v>
      </c>
      <c r="M781">
        <f t="shared" si="84"/>
        <v>200</v>
      </c>
      <c r="N781" t="str">
        <f t="shared" si="85"/>
        <v>1984-07-22</v>
      </c>
      <c r="O781">
        <f t="shared" si="86"/>
        <v>27</v>
      </c>
      <c r="P781" t="str">
        <f t="shared" si="87"/>
        <v>mężczyzna</v>
      </c>
      <c r="Q781">
        <f t="shared" si="88"/>
        <v>3</v>
      </c>
      <c r="R781">
        <f t="shared" si="89"/>
        <v>1</v>
      </c>
      <c r="S781">
        <f t="shared" ca="1" si="90"/>
        <v>0</v>
      </c>
    </row>
    <row r="782" spans="1:19">
      <c r="A782" s="1" t="s">
        <v>19</v>
      </c>
      <c r="B782" s="2">
        <v>500</v>
      </c>
      <c r="C782" s="1">
        <v>500</v>
      </c>
      <c r="D782" s="1" t="s">
        <v>334</v>
      </c>
      <c r="E782" s="1">
        <v>16</v>
      </c>
      <c r="F782" s="3">
        <v>1770</v>
      </c>
      <c r="G782" s="1">
        <v>7</v>
      </c>
      <c r="H782" s="1" t="s">
        <v>1789</v>
      </c>
      <c r="I782" s="1" t="s">
        <v>336</v>
      </c>
      <c r="J782" s="1" t="s">
        <v>16</v>
      </c>
      <c r="K782" s="1" t="s">
        <v>1776</v>
      </c>
      <c r="L782" s="1" t="s">
        <v>1500</v>
      </c>
      <c r="M782">
        <f t="shared" si="84"/>
        <v>500</v>
      </c>
      <c r="N782" t="str">
        <f t="shared" si="85"/>
        <v>1953-04-19</v>
      </c>
      <c r="O782">
        <f t="shared" si="86"/>
        <v>58</v>
      </c>
      <c r="P782" t="str">
        <f t="shared" si="87"/>
        <v>mężczyzna</v>
      </c>
      <c r="Q782">
        <f t="shared" si="88"/>
        <v>91</v>
      </c>
      <c r="R782">
        <f t="shared" si="89"/>
        <v>48</v>
      </c>
      <c r="S782">
        <f t="shared" ca="1" si="90"/>
        <v>0</v>
      </c>
    </row>
    <row r="783" spans="1:19">
      <c r="A783" s="1" t="s">
        <v>19</v>
      </c>
      <c r="B783" s="2">
        <v>400</v>
      </c>
      <c r="C783" s="1">
        <v>400</v>
      </c>
      <c r="D783" s="1" t="s">
        <v>331</v>
      </c>
      <c r="E783" s="1">
        <v>13</v>
      </c>
      <c r="F783" s="3">
        <v>1870</v>
      </c>
      <c r="G783" s="1">
        <v>2</v>
      </c>
      <c r="H783" s="1" t="s">
        <v>1790</v>
      </c>
      <c r="I783" s="1" t="s">
        <v>333</v>
      </c>
      <c r="J783" s="1" t="s">
        <v>16</v>
      </c>
      <c r="K783" s="1" t="s">
        <v>1776</v>
      </c>
      <c r="L783" s="1" t="s">
        <v>1715</v>
      </c>
      <c r="M783">
        <f t="shared" si="84"/>
        <v>400</v>
      </c>
      <c r="N783" t="str">
        <f t="shared" si="85"/>
        <v>1939-05-13</v>
      </c>
      <c r="O783">
        <f t="shared" si="86"/>
        <v>72</v>
      </c>
      <c r="P783" t="str">
        <f t="shared" si="87"/>
        <v>mężczyzna</v>
      </c>
      <c r="Q783">
        <f t="shared" si="88"/>
        <v>87</v>
      </c>
      <c r="R783">
        <f t="shared" si="89"/>
        <v>48</v>
      </c>
      <c r="S783">
        <f t="shared" ca="1" si="90"/>
        <v>2</v>
      </c>
    </row>
    <row r="784" spans="1:19">
      <c r="A784" s="1" t="s">
        <v>19</v>
      </c>
      <c r="B784" s="2">
        <v>600</v>
      </c>
      <c r="C784" s="1">
        <v>400</v>
      </c>
      <c r="D784" s="1" t="s">
        <v>1791</v>
      </c>
      <c r="E784" s="1">
        <v>12</v>
      </c>
      <c r="F784" s="3">
        <v>1320</v>
      </c>
      <c r="G784" s="1">
        <v>0</v>
      </c>
      <c r="H784" s="1" t="s">
        <v>1792</v>
      </c>
      <c r="I784" s="1" t="s">
        <v>717</v>
      </c>
      <c r="J784" s="1" t="s">
        <v>1793</v>
      </c>
      <c r="K784" s="1" t="s">
        <v>1776</v>
      </c>
      <c r="L784" s="1" t="s">
        <v>1715</v>
      </c>
      <c r="M784">
        <f t="shared" si="84"/>
        <v>400</v>
      </c>
      <c r="N784" t="str">
        <f t="shared" si="85"/>
        <v>1952-10-27</v>
      </c>
      <c r="O784">
        <f t="shared" si="86"/>
        <v>59</v>
      </c>
      <c r="P784" t="str">
        <f t="shared" si="87"/>
        <v>kobieta</v>
      </c>
      <c r="Q784">
        <f t="shared" si="88"/>
        <v>11</v>
      </c>
      <c r="R784">
        <f t="shared" si="89"/>
        <v>24</v>
      </c>
      <c r="S784">
        <f t="shared" ca="1" si="90"/>
        <v>2</v>
      </c>
    </row>
    <row r="785" spans="1:19">
      <c r="A785" s="1" t="s">
        <v>12</v>
      </c>
      <c r="B785" s="2">
        <v>500</v>
      </c>
      <c r="C785" s="1">
        <v>300</v>
      </c>
      <c r="D785" s="1" t="s">
        <v>1794</v>
      </c>
      <c r="E785" s="1">
        <v>11</v>
      </c>
      <c r="F785" s="3">
        <v>1228</v>
      </c>
      <c r="G785" s="1">
        <v>0</v>
      </c>
      <c r="H785" s="1" t="s">
        <v>1795</v>
      </c>
      <c r="I785" s="1" t="s">
        <v>1796</v>
      </c>
      <c r="J785" s="1" t="s">
        <v>16</v>
      </c>
      <c r="K785" s="1" t="s">
        <v>1776</v>
      </c>
      <c r="L785" s="1" t="s">
        <v>1797</v>
      </c>
      <c r="M785">
        <f t="shared" si="84"/>
        <v>300</v>
      </c>
      <c r="N785" t="str">
        <f t="shared" si="85"/>
        <v>1975-08-21</v>
      </c>
      <c r="O785">
        <f t="shared" si="86"/>
        <v>36</v>
      </c>
      <c r="P785" t="str">
        <f t="shared" si="87"/>
        <v>kobieta</v>
      </c>
      <c r="Q785">
        <f t="shared" si="88"/>
        <v>36</v>
      </c>
      <c r="R785">
        <f t="shared" si="89"/>
        <v>48</v>
      </c>
      <c r="S785">
        <f t="shared" ca="1" si="90"/>
        <v>4</v>
      </c>
    </row>
    <row r="786" spans="1:19">
      <c r="A786" s="1" t="s">
        <v>19</v>
      </c>
      <c r="B786" s="2">
        <v>500</v>
      </c>
      <c r="C786" s="1">
        <v>500</v>
      </c>
      <c r="D786" s="1" t="s">
        <v>1157</v>
      </c>
      <c r="E786" s="1">
        <v>13</v>
      </c>
      <c r="F786" s="3">
        <v>1200</v>
      </c>
      <c r="G786" s="1">
        <v>6</v>
      </c>
      <c r="H786" s="1" t="s">
        <v>1798</v>
      </c>
      <c r="I786" s="1" t="s">
        <v>1159</v>
      </c>
      <c r="J786" s="1" t="s">
        <v>16</v>
      </c>
      <c r="K786" s="1" t="s">
        <v>1776</v>
      </c>
      <c r="L786" s="1" t="s">
        <v>1778</v>
      </c>
      <c r="M786">
        <f t="shared" si="84"/>
        <v>500</v>
      </c>
      <c r="N786" t="str">
        <f t="shared" si="85"/>
        <v>1941-02-15</v>
      </c>
      <c r="O786">
        <f t="shared" si="86"/>
        <v>70</v>
      </c>
      <c r="P786" t="str">
        <f t="shared" si="87"/>
        <v>kobieta</v>
      </c>
      <c r="Q786">
        <f t="shared" si="88"/>
        <v>121</v>
      </c>
      <c r="R786">
        <f t="shared" si="89"/>
        <v>48</v>
      </c>
      <c r="S786">
        <f t="shared" ca="1" si="90"/>
        <v>7</v>
      </c>
    </row>
    <row r="787" spans="1:19">
      <c r="A787" s="1" t="s">
        <v>19</v>
      </c>
      <c r="B787" s="2">
        <v>300</v>
      </c>
      <c r="C787" s="1">
        <v>200</v>
      </c>
      <c r="D787" s="1" t="s">
        <v>1157</v>
      </c>
      <c r="E787" s="1">
        <v>13</v>
      </c>
      <c r="F787" s="3">
        <v>1200</v>
      </c>
      <c r="G787" s="1">
        <v>0</v>
      </c>
      <c r="H787" s="1" t="s">
        <v>1799</v>
      </c>
      <c r="I787" s="1" t="s">
        <v>1159</v>
      </c>
      <c r="J787" s="1" t="s">
        <v>16</v>
      </c>
      <c r="K787" s="1" t="s">
        <v>1776</v>
      </c>
      <c r="L787" s="1" t="s">
        <v>1778</v>
      </c>
      <c r="M787">
        <f t="shared" si="84"/>
        <v>200</v>
      </c>
      <c r="N787" t="str">
        <f t="shared" si="85"/>
        <v>1941-02-15</v>
      </c>
      <c r="O787">
        <f t="shared" si="86"/>
        <v>70</v>
      </c>
      <c r="P787" t="str">
        <f t="shared" si="87"/>
        <v>kobieta</v>
      </c>
      <c r="Q787">
        <f t="shared" si="88"/>
        <v>121</v>
      </c>
      <c r="R787">
        <f t="shared" si="89"/>
        <v>48</v>
      </c>
      <c r="S787">
        <f t="shared" ca="1" si="90"/>
        <v>7</v>
      </c>
    </row>
    <row r="788" spans="1:19">
      <c r="A788" s="1" t="s">
        <v>19</v>
      </c>
      <c r="B788" s="2">
        <v>400</v>
      </c>
      <c r="C788" s="1">
        <v>400</v>
      </c>
      <c r="D788" s="1" t="s">
        <v>400</v>
      </c>
      <c r="E788" s="1">
        <v>11</v>
      </c>
      <c r="F788" s="3">
        <v>1800</v>
      </c>
      <c r="G788" s="1">
        <v>3</v>
      </c>
      <c r="H788" s="1" t="s">
        <v>1800</v>
      </c>
      <c r="I788" s="1" t="s">
        <v>402</v>
      </c>
      <c r="J788" s="1" t="s">
        <v>16</v>
      </c>
      <c r="K788" s="1" t="s">
        <v>1776</v>
      </c>
      <c r="L788" s="1" t="s">
        <v>1568</v>
      </c>
      <c r="M788">
        <f t="shared" si="84"/>
        <v>400</v>
      </c>
      <c r="N788" t="str">
        <f t="shared" si="85"/>
        <v>1960-11-18</v>
      </c>
      <c r="O788">
        <f t="shared" si="86"/>
        <v>51</v>
      </c>
      <c r="P788" t="str">
        <f t="shared" si="87"/>
        <v>mężczyzna</v>
      </c>
      <c r="Q788">
        <f t="shared" si="88"/>
        <v>261</v>
      </c>
      <c r="R788">
        <f t="shared" si="89"/>
        <v>48</v>
      </c>
      <c r="S788">
        <f t="shared" ca="1" si="90"/>
        <v>0</v>
      </c>
    </row>
    <row r="789" spans="1:19">
      <c r="A789" s="1" t="s">
        <v>19</v>
      </c>
      <c r="B789" s="2">
        <v>200</v>
      </c>
      <c r="C789" s="1">
        <v>200</v>
      </c>
      <c r="D789" s="1" t="s">
        <v>305</v>
      </c>
      <c r="E789" s="1">
        <v>12</v>
      </c>
      <c r="F789" s="3">
        <v>1100</v>
      </c>
      <c r="G789" s="1">
        <v>3</v>
      </c>
      <c r="H789" s="1" t="s">
        <v>1801</v>
      </c>
      <c r="I789" s="1" t="s">
        <v>307</v>
      </c>
      <c r="J789" s="1" t="s">
        <v>63</v>
      </c>
      <c r="K789" s="1" t="s">
        <v>1776</v>
      </c>
      <c r="L789" s="1" t="s">
        <v>1797</v>
      </c>
      <c r="M789">
        <f t="shared" si="84"/>
        <v>200</v>
      </c>
      <c r="N789" t="str">
        <f t="shared" si="85"/>
        <v>1985-05-07</v>
      </c>
      <c r="O789">
        <f t="shared" si="86"/>
        <v>26</v>
      </c>
      <c r="P789" t="str">
        <f t="shared" si="87"/>
        <v>kobieta</v>
      </c>
      <c r="Q789">
        <f t="shared" si="88"/>
        <v>17</v>
      </c>
      <c r="R789">
        <f t="shared" si="89"/>
        <v>0</v>
      </c>
      <c r="S789">
        <f t="shared" ca="1" si="90"/>
        <v>4</v>
      </c>
    </row>
    <row r="790" spans="1:19">
      <c r="A790" s="1" t="s">
        <v>12</v>
      </c>
      <c r="B790" s="2">
        <v>400</v>
      </c>
      <c r="C790" s="1">
        <v>300</v>
      </c>
      <c r="D790" s="1" t="s">
        <v>1767</v>
      </c>
      <c r="E790" s="1">
        <v>11</v>
      </c>
      <c r="F790" s="3">
        <v>2300</v>
      </c>
      <c r="G790" s="1">
        <v>0</v>
      </c>
      <c r="H790" s="1" t="s">
        <v>1802</v>
      </c>
      <c r="I790" s="1" t="s">
        <v>1085</v>
      </c>
      <c r="J790" s="1" t="s">
        <v>16</v>
      </c>
      <c r="K790" s="1" t="s">
        <v>1776</v>
      </c>
      <c r="L790" s="1" t="s">
        <v>1236</v>
      </c>
      <c r="M790">
        <f t="shared" si="84"/>
        <v>300</v>
      </c>
      <c r="N790" t="str">
        <f t="shared" si="85"/>
        <v>1985-07-15</v>
      </c>
      <c r="O790">
        <f t="shared" si="86"/>
        <v>26</v>
      </c>
      <c r="P790" t="str">
        <f t="shared" si="87"/>
        <v>kobieta</v>
      </c>
      <c r="Q790">
        <f t="shared" si="88"/>
        <v>24</v>
      </c>
      <c r="R790">
        <f t="shared" si="89"/>
        <v>48</v>
      </c>
      <c r="S790">
        <f t="shared" ca="1" si="90"/>
        <v>0</v>
      </c>
    </row>
    <row r="791" spans="1:19">
      <c r="A791" s="1" t="s">
        <v>12</v>
      </c>
      <c r="B791" s="2">
        <v>300</v>
      </c>
      <c r="C791" s="1">
        <v>300</v>
      </c>
      <c r="D791" s="1" t="s">
        <v>286</v>
      </c>
      <c r="E791" s="1">
        <v>11</v>
      </c>
      <c r="F791" s="3">
        <v>1300</v>
      </c>
      <c r="G791" s="1">
        <v>0</v>
      </c>
      <c r="H791" s="1" t="s">
        <v>1803</v>
      </c>
      <c r="I791" s="1" t="s">
        <v>288</v>
      </c>
      <c r="J791" s="1" t="s">
        <v>16</v>
      </c>
      <c r="K791" s="1" t="s">
        <v>1776</v>
      </c>
      <c r="L791" s="1" t="s">
        <v>1347</v>
      </c>
      <c r="M791">
        <f t="shared" si="84"/>
        <v>300</v>
      </c>
      <c r="N791" t="str">
        <f t="shared" si="85"/>
        <v>1958-12-16</v>
      </c>
      <c r="O791">
        <f t="shared" si="86"/>
        <v>53</v>
      </c>
      <c r="P791" t="str">
        <f t="shared" si="87"/>
        <v>mężczyzna</v>
      </c>
      <c r="Q791">
        <f t="shared" si="88"/>
        <v>454</v>
      </c>
      <c r="R791">
        <f t="shared" si="89"/>
        <v>48</v>
      </c>
      <c r="S791">
        <f t="shared" ca="1" si="90"/>
        <v>0</v>
      </c>
    </row>
    <row r="792" spans="1:19">
      <c r="A792" s="1" t="s">
        <v>19</v>
      </c>
      <c r="B792" s="2">
        <v>290.88</v>
      </c>
      <c r="C792" s="1">
        <v>290.88</v>
      </c>
      <c r="D792" s="1" t="s">
        <v>222</v>
      </c>
      <c r="E792" s="1">
        <v>13</v>
      </c>
      <c r="F792" s="3">
        <v>1090.1400000000001</v>
      </c>
      <c r="G792" s="1">
        <v>6</v>
      </c>
      <c r="H792" s="1" t="s">
        <v>1804</v>
      </c>
      <c r="I792" s="1" t="s">
        <v>224</v>
      </c>
      <c r="J792" s="1" t="s">
        <v>16</v>
      </c>
      <c r="K792" s="1" t="s">
        <v>1776</v>
      </c>
      <c r="L792" s="1" t="s">
        <v>1728</v>
      </c>
      <c r="M792">
        <f t="shared" si="84"/>
        <v>290.88</v>
      </c>
      <c r="N792" t="str">
        <f t="shared" si="85"/>
        <v>1950-06-12</v>
      </c>
      <c r="O792">
        <f t="shared" si="86"/>
        <v>61</v>
      </c>
      <c r="P792" t="str">
        <f t="shared" si="87"/>
        <v>kobieta</v>
      </c>
      <c r="Q792">
        <f t="shared" si="88"/>
        <v>77</v>
      </c>
      <c r="R792">
        <f t="shared" si="89"/>
        <v>48</v>
      </c>
      <c r="S792">
        <f t="shared" ca="1" si="90"/>
        <v>5</v>
      </c>
    </row>
    <row r="793" spans="1:19">
      <c r="A793" s="1" t="s">
        <v>56</v>
      </c>
      <c r="B793" s="2">
        <v>830</v>
      </c>
      <c r="C793" s="1">
        <v>830</v>
      </c>
      <c r="D793" s="1" t="s">
        <v>801</v>
      </c>
      <c r="E793" s="1">
        <v>13</v>
      </c>
      <c r="F793" s="3">
        <v>1977</v>
      </c>
      <c r="G793" s="1">
        <v>4</v>
      </c>
      <c r="H793" s="1" t="s">
        <v>1805</v>
      </c>
      <c r="I793" s="1" t="s">
        <v>803</v>
      </c>
      <c r="J793" s="1" t="s">
        <v>16</v>
      </c>
      <c r="K793" s="1" t="s">
        <v>1776</v>
      </c>
      <c r="L793" s="1" t="s">
        <v>28</v>
      </c>
      <c r="M793">
        <f t="shared" si="84"/>
        <v>830</v>
      </c>
      <c r="N793" t="str">
        <f t="shared" si="85"/>
        <v>1950-02-25</v>
      </c>
      <c r="O793">
        <f t="shared" si="86"/>
        <v>61</v>
      </c>
      <c r="P793" t="str">
        <f t="shared" si="87"/>
        <v>kobieta</v>
      </c>
      <c r="Q793">
        <f t="shared" si="88"/>
        <v>57</v>
      </c>
      <c r="R793">
        <f t="shared" si="89"/>
        <v>48</v>
      </c>
      <c r="S793">
        <f t="shared" ca="1" si="90"/>
        <v>5206</v>
      </c>
    </row>
    <row r="794" spans="1:19">
      <c r="A794" s="1" t="s">
        <v>19</v>
      </c>
      <c r="B794" s="2">
        <v>500</v>
      </c>
      <c r="C794" s="1">
        <v>500</v>
      </c>
      <c r="D794" s="1" t="s">
        <v>1304</v>
      </c>
      <c r="E794" s="1">
        <v>13</v>
      </c>
      <c r="F794" s="3">
        <v>1500</v>
      </c>
      <c r="G794" s="1">
        <v>1</v>
      </c>
      <c r="H794" s="1" t="s">
        <v>1806</v>
      </c>
      <c r="I794" s="1" t="s">
        <v>1306</v>
      </c>
      <c r="J794" s="1" t="s">
        <v>16</v>
      </c>
      <c r="K794" s="1" t="s">
        <v>1807</v>
      </c>
      <c r="L794" s="1" t="s">
        <v>1778</v>
      </c>
      <c r="M794">
        <f t="shared" si="84"/>
        <v>500</v>
      </c>
      <c r="N794" t="str">
        <f t="shared" si="85"/>
        <v>1964-11-11</v>
      </c>
      <c r="O794">
        <f t="shared" si="86"/>
        <v>47</v>
      </c>
      <c r="P794" t="str">
        <f t="shared" si="87"/>
        <v>mężczyzna</v>
      </c>
      <c r="Q794">
        <f t="shared" si="88"/>
        <v>88</v>
      </c>
      <c r="R794">
        <f t="shared" si="89"/>
        <v>48</v>
      </c>
      <c r="S794">
        <f t="shared" ca="1" si="90"/>
        <v>6</v>
      </c>
    </row>
    <row r="795" spans="1:19">
      <c r="A795" s="1" t="s">
        <v>19</v>
      </c>
      <c r="B795" s="2">
        <v>300</v>
      </c>
      <c r="C795" s="1">
        <v>300</v>
      </c>
      <c r="D795" s="1" t="s">
        <v>947</v>
      </c>
      <c r="E795" s="1">
        <v>13</v>
      </c>
      <c r="F795" s="3">
        <v>1000</v>
      </c>
      <c r="G795" s="1">
        <v>0</v>
      </c>
      <c r="H795" s="1" t="s">
        <v>1808</v>
      </c>
      <c r="I795" s="1" t="s">
        <v>660</v>
      </c>
      <c r="J795" s="1" t="s">
        <v>16</v>
      </c>
      <c r="K795" s="1" t="s">
        <v>1807</v>
      </c>
      <c r="L795" s="1" t="s">
        <v>1500</v>
      </c>
      <c r="M795">
        <f t="shared" si="84"/>
        <v>300</v>
      </c>
      <c r="N795" t="str">
        <f t="shared" si="85"/>
        <v>1936-07-16</v>
      </c>
      <c r="O795">
        <f t="shared" si="86"/>
        <v>75</v>
      </c>
      <c r="P795" t="str">
        <f t="shared" si="87"/>
        <v>kobieta</v>
      </c>
      <c r="Q795">
        <f t="shared" si="88"/>
        <v>213</v>
      </c>
      <c r="R795">
        <f t="shared" si="89"/>
        <v>48</v>
      </c>
      <c r="S795">
        <f t="shared" ca="1" si="90"/>
        <v>0</v>
      </c>
    </row>
    <row r="796" spans="1:19">
      <c r="A796" s="1" t="s">
        <v>12</v>
      </c>
      <c r="B796" s="2">
        <v>600</v>
      </c>
      <c r="C796" s="1">
        <v>600</v>
      </c>
      <c r="D796" s="1" t="s">
        <v>1174</v>
      </c>
      <c r="E796" s="1">
        <v>11</v>
      </c>
      <c r="F796" s="3">
        <v>1300</v>
      </c>
      <c r="G796" s="1">
        <v>1</v>
      </c>
      <c r="H796" s="1" t="s">
        <v>1809</v>
      </c>
      <c r="I796" s="1" t="s">
        <v>1176</v>
      </c>
      <c r="J796" s="1" t="s">
        <v>16</v>
      </c>
      <c r="K796" s="1" t="s">
        <v>1807</v>
      </c>
      <c r="L796" s="1" t="s">
        <v>1810</v>
      </c>
      <c r="M796">
        <f t="shared" si="84"/>
        <v>600</v>
      </c>
      <c r="N796" t="str">
        <f t="shared" si="85"/>
        <v>1957-05-11</v>
      </c>
      <c r="O796">
        <f t="shared" si="86"/>
        <v>54</v>
      </c>
      <c r="P796" t="str">
        <f t="shared" si="87"/>
        <v>kobieta</v>
      </c>
      <c r="Q796">
        <f t="shared" si="88"/>
        <v>70</v>
      </c>
      <c r="R796">
        <f t="shared" si="89"/>
        <v>48</v>
      </c>
      <c r="S796">
        <f t="shared" ca="1" si="90"/>
        <v>13</v>
      </c>
    </row>
    <row r="797" spans="1:19">
      <c r="A797" s="1" t="s">
        <v>19</v>
      </c>
      <c r="B797" s="2">
        <v>300</v>
      </c>
      <c r="C797" s="1">
        <v>300</v>
      </c>
      <c r="D797" s="1" t="s">
        <v>122</v>
      </c>
      <c r="E797" s="1">
        <v>13</v>
      </c>
      <c r="F797" s="3">
        <v>1014</v>
      </c>
      <c r="G797" s="1">
        <v>1</v>
      </c>
      <c r="H797" s="1" t="s">
        <v>1811</v>
      </c>
      <c r="I797" s="1" t="s">
        <v>124</v>
      </c>
      <c r="J797" s="1" t="s">
        <v>16</v>
      </c>
      <c r="K797" s="1" t="s">
        <v>1807</v>
      </c>
      <c r="L797" s="1" t="s">
        <v>1778</v>
      </c>
      <c r="M797">
        <f t="shared" si="84"/>
        <v>300</v>
      </c>
      <c r="N797" t="str">
        <f t="shared" si="85"/>
        <v>1948-02-07</v>
      </c>
      <c r="O797">
        <f t="shared" si="86"/>
        <v>63</v>
      </c>
      <c r="P797" t="str">
        <f t="shared" si="87"/>
        <v>kobieta</v>
      </c>
      <c r="Q797">
        <f t="shared" si="88"/>
        <v>185</v>
      </c>
      <c r="R797">
        <f t="shared" si="89"/>
        <v>48</v>
      </c>
      <c r="S797">
        <f t="shared" ca="1" si="90"/>
        <v>6</v>
      </c>
    </row>
    <row r="798" spans="1:19">
      <c r="A798" s="1" t="s">
        <v>56</v>
      </c>
      <c r="B798" s="2">
        <v>200</v>
      </c>
      <c r="C798" s="1">
        <v>200</v>
      </c>
      <c r="D798" s="1" t="s">
        <v>1052</v>
      </c>
      <c r="E798" s="1">
        <v>12</v>
      </c>
      <c r="F798" s="3">
        <v>1032.3399999999999</v>
      </c>
      <c r="G798" s="1">
        <v>6</v>
      </c>
      <c r="H798" s="1" t="s">
        <v>1812</v>
      </c>
      <c r="I798" s="1" t="s">
        <v>1054</v>
      </c>
      <c r="J798" s="1" t="s">
        <v>507</v>
      </c>
      <c r="K798" s="1" t="s">
        <v>1807</v>
      </c>
      <c r="L798" s="1" t="s">
        <v>28</v>
      </c>
      <c r="M798">
        <f t="shared" si="84"/>
        <v>200</v>
      </c>
      <c r="N798" t="str">
        <f t="shared" si="85"/>
        <v>1980-05-18</v>
      </c>
      <c r="O798">
        <f t="shared" si="86"/>
        <v>31</v>
      </c>
      <c r="P798" t="str">
        <f t="shared" si="87"/>
        <v>kobieta</v>
      </c>
      <c r="Q798">
        <f t="shared" si="88"/>
        <v>7</v>
      </c>
      <c r="R798">
        <f t="shared" si="89"/>
        <v>4</v>
      </c>
      <c r="S798">
        <f t="shared" ca="1" si="90"/>
        <v>5205</v>
      </c>
    </row>
    <row r="799" spans="1:19">
      <c r="A799" s="1" t="s">
        <v>19</v>
      </c>
      <c r="B799" s="2">
        <v>437.15</v>
      </c>
      <c r="C799" s="1">
        <v>437.15</v>
      </c>
      <c r="D799" s="1" t="s">
        <v>1285</v>
      </c>
      <c r="E799" s="1">
        <v>13</v>
      </c>
      <c r="F799" s="3">
        <v>820</v>
      </c>
      <c r="G799" s="1">
        <v>1</v>
      </c>
      <c r="H799" s="1" t="s">
        <v>1813</v>
      </c>
      <c r="I799" s="1" t="s">
        <v>1287</v>
      </c>
      <c r="J799" s="1" t="s">
        <v>16</v>
      </c>
      <c r="K799" s="1" t="s">
        <v>1807</v>
      </c>
      <c r="L799" s="1" t="s">
        <v>1669</v>
      </c>
      <c r="M799">
        <f t="shared" si="84"/>
        <v>437.15</v>
      </c>
      <c r="N799" t="str">
        <f t="shared" si="85"/>
        <v>1949-08-07</v>
      </c>
      <c r="O799">
        <f t="shared" si="86"/>
        <v>62</v>
      </c>
      <c r="P799" t="str">
        <f t="shared" si="87"/>
        <v>kobieta</v>
      </c>
      <c r="Q799">
        <f t="shared" si="88"/>
        <v>33</v>
      </c>
      <c r="R799">
        <f t="shared" si="89"/>
        <v>48</v>
      </c>
      <c r="S799">
        <f t="shared" ca="1" si="90"/>
        <v>0</v>
      </c>
    </row>
    <row r="800" spans="1:19">
      <c r="A800" s="1" t="s">
        <v>12</v>
      </c>
      <c r="B800" s="2">
        <v>400</v>
      </c>
      <c r="C800" s="1">
        <v>400</v>
      </c>
      <c r="D800" s="1" t="s">
        <v>1478</v>
      </c>
      <c r="E800" s="1">
        <v>99</v>
      </c>
      <c r="F800" s="3">
        <v>1500</v>
      </c>
      <c r="G800" s="1">
        <v>0</v>
      </c>
      <c r="H800" s="1" t="s">
        <v>1814</v>
      </c>
      <c r="I800" s="1" t="s">
        <v>27</v>
      </c>
      <c r="J800" s="1" t="s">
        <v>1815</v>
      </c>
      <c r="K800" s="1" t="s">
        <v>1807</v>
      </c>
      <c r="L800" s="1" t="s">
        <v>1748</v>
      </c>
      <c r="M800">
        <f t="shared" si="84"/>
        <v>400</v>
      </c>
      <c r="N800" t="str">
        <f t="shared" si="85"/>
        <v>1990-01-08</v>
      </c>
      <c r="O800">
        <f t="shared" si="86"/>
        <v>21</v>
      </c>
      <c r="P800" t="str">
        <f t="shared" si="87"/>
        <v>mężczyzna</v>
      </c>
      <c r="Q800">
        <f t="shared" si="88"/>
        <v>5</v>
      </c>
      <c r="R800">
        <f t="shared" si="89"/>
        <v>2</v>
      </c>
      <c r="S800">
        <f t="shared" ca="1" si="90"/>
        <v>0</v>
      </c>
    </row>
    <row r="801" spans="1:19">
      <c r="A801" s="1" t="s">
        <v>12</v>
      </c>
      <c r="B801" s="2">
        <v>600</v>
      </c>
      <c r="C801" s="1">
        <v>600</v>
      </c>
      <c r="D801" s="1" t="s">
        <v>261</v>
      </c>
      <c r="E801" s="1">
        <v>11</v>
      </c>
      <c r="F801" s="3">
        <v>1700</v>
      </c>
      <c r="G801" s="1">
        <v>0</v>
      </c>
      <c r="H801" s="1" t="s">
        <v>1816</v>
      </c>
      <c r="I801" s="1" t="s">
        <v>263</v>
      </c>
      <c r="J801" s="1" t="s">
        <v>16</v>
      </c>
      <c r="K801" s="1" t="s">
        <v>1807</v>
      </c>
      <c r="L801" s="1" t="s">
        <v>1748</v>
      </c>
      <c r="M801">
        <f t="shared" si="84"/>
        <v>600</v>
      </c>
      <c r="N801" t="str">
        <f t="shared" si="85"/>
        <v>1958-08-25</v>
      </c>
      <c r="O801">
        <f t="shared" si="86"/>
        <v>53</v>
      </c>
      <c r="P801" t="str">
        <f t="shared" si="87"/>
        <v>kobieta</v>
      </c>
      <c r="Q801">
        <f t="shared" si="88"/>
        <v>207</v>
      </c>
      <c r="R801">
        <f t="shared" si="89"/>
        <v>48</v>
      </c>
      <c r="S801">
        <f t="shared" ca="1" si="90"/>
        <v>0</v>
      </c>
    </row>
    <row r="802" spans="1:19">
      <c r="A802" s="1" t="s">
        <v>12</v>
      </c>
      <c r="B802" s="2">
        <v>200</v>
      </c>
      <c r="C802" s="1">
        <v>200</v>
      </c>
      <c r="D802" s="1" t="s">
        <v>1817</v>
      </c>
      <c r="E802" s="1">
        <v>99</v>
      </c>
      <c r="F802" s="3">
        <v>1400</v>
      </c>
      <c r="G802" s="1">
        <v>0</v>
      </c>
      <c r="H802" s="1" t="s">
        <v>1818</v>
      </c>
      <c r="I802" s="1" t="s">
        <v>1819</v>
      </c>
      <c r="J802" s="1" t="s">
        <v>90</v>
      </c>
      <c r="K802" s="1" t="s">
        <v>1807</v>
      </c>
      <c r="L802" s="1" t="s">
        <v>1347</v>
      </c>
      <c r="M802">
        <f t="shared" si="84"/>
        <v>200</v>
      </c>
      <c r="N802" t="str">
        <f t="shared" si="85"/>
        <v>1965-12-15</v>
      </c>
      <c r="O802">
        <f t="shared" si="86"/>
        <v>46</v>
      </c>
      <c r="P802" t="str">
        <f t="shared" si="87"/>
        <v>mężczyzna</v>
      </c>
      <c r="Q802">
        <f t="shared" si="88"/>
        <v>18</v>
      </c>
      <c r="R802">
        <f t="shared" si="89"/>
        <v>1</v>
      </c>
      <c r="S802">
        <f t="shared" ca="1" si="90"/>
        <v>0</v>
      </c>
    </row>
    <row r="803" spans="1:19">
      <c r="A803" s="1" t="s">
        <v>19</v>
      </c>
      <c r="B803" s="2">
        <v>345.97</v>
      </c>
      <c r="C803" s="1">
        <v>345.97</v>
      </c>
      <c r="D803" s="1" t="s">
        <v>369</v>
      </c>
      <c r="E803" s="1">
        <v>11</v>
      </c>
      <c r="F803" s="3">
        <v>1721.7</v>
      </c>
      <c r="G803" s="1">
        <v>7</v>
      </c>
      <c r="H803" s="1" t="s">
        <v>1820</v>
      </c>
      <c r="I803" s="1" t="s">
        <v>371</v>
      </c>
      <c r="J803" s="1" t="s">
        <v>16</v>
      </c>
      <c r="K803" s="1" t="s">
        <v>1807</v>
      </c>
      <c r="L803" s="1" t="s">
        <v>1748</v>
      </c>
      <c r="M803">
        <f t="shared" si="84"/>
        <v>345.97</v>
      </c>
      <c r="N803" t="str">
        <f t="shared" si="85"/>
        <v>1957-03-19</v>
      </c>
      <c r="O803">
        <f t="shared" si="86"/>
        <v>54</v>
      </c>
      <c r="P803" t="str">
        <f t="shared" si="87"/>
        <v>kobieta</v>
      </c>
      <c r="Q803">
        <f t="shared" si="88"/>
        <v>122</v>
      </c>
      <c r="R803">
        <f t="shared" si="89"/>
        <v>48</v>
      </c>
      <c r="S803">
        <f t="shared" ca="1" si="90"/>
        <v>0</v>
      </c>
    </row>
    <row r="804" spans="1:19">
      <c r="A804" s="1" t="s">
        <v>19</v>
      </c>
      <c r="B804" s="2">
        <v>500</v>
      </c>
      <c r="C804" s="1">
        <v>400</v>
      </c>
      <c r="D804" s="1" t="s">
        <v>1821</v>
      </c>
      <c r="E804" s="1">
        <v>11</v>
      </c>
      <c r="F804" s="3">
        <v>1764</v>
      </c>
      <c r="G804" s="1">
        <v>0</v>
      </c>
      <c r="H804" s="1" t="s">
        <v>1822</v>
      </c>
      <c r="I804" s="1" t="s">
        <v>1823</v>
      </c>
      <c r="J804" s="1" t="s">
        <v>16</v>
      </c>
      <c r="K804" s="1" t="s">
        <v>1807</v>
      </c>
      <c r="L804" s="1" t="s">
        <v>1748</v>
      </c>
      <c r="M804">
        <f t="shared" si="84"/>
        <v>400</v>
      </c>
      <c r="N804" t="str">
        <f t="shared" si="85"/>
        <v>1962-06-23</v>
      </c>
      <c r="O804">
        <f t="shared" si="86"/>
        <v>49</v>
      </c>
      <c r="P804" t="str">
        <f t="shared" si="87"/>
        <v>kobieta</v>
      </c>
      <c r="Q804">
        <f t="shared" si="88"/>
        <v>66</v>
      </c>
      <c r="R804">
        <f t="shared" si="89"/>
        <v>48</v>
      </c>
      <c r="S804">
        <f t="shared" ca="1" si="90"/>
        <v>0</v>
      </c>
    </row>
    <row r="805" spans="1:19">
      <c r="A805" s="1" t="s">
        <v>19</v>
      </c>
      <c r="B805" s="2">
        <v>314.14999999999998</v>
      </c>
      <c r="C805" s="1">
        <v>314.14999999999998</v>
      </c>
      <c r="D805" s="1" t="s">
        <v>397</v>
      </c>
      <c r="E805" s="1">
        <v>11</v>
      </c>
      <c r="F805" s="3">
        <v>2709.34</v>
      </c>
      <c r="G805" s="1">
        <v>7</v>
      </c>
      <c r="H805" s="1" t="s">
        <v>1824</v>
      </c>
      <c r="I805" s="1" t="s">
        <v>399</v>
      </c>
      <c r="J805" s="1" t="s">
        <v>16</v>
      </c>
      <c r="K805" s="1" t="s">
        <v>1825</v>
      </c>
      <c r="L805" s="1" t="s">
        <v>1748</v>
      </c>
      <c r="M805">
        <f t="shared" si="84"/>
        <v>314.14999999999998</v>
      </c>
      <c r="N805" t="str">
        <f t="shared" si="85"/>
        <v>1976-06-18</v>
      </c>
      <c r="O805">
        <f t="shared" si="86"/>
        <v>35</v>
      </c>
      <c r="P805" t="str">
        <f t="shared" si="87"/>
        <v>kobieta</v>
      </c>
      <c r="Q805">
        <f t="shared" si="88"/>
        <v>183</v>
      </c>
      <c r="R805">
        <f t="shared" si="89"/>
        <v>48</v>
      </c>
      <c r="S805">
        <f t="shared" ca="1" si="90"/>
        <v>0</v>
      </c>
    </row>
    <row r="806" spans="1:19">
      <c r="A806" s="1" t="s">
        <v>19</v>
      </c>
      <c r="B806" s="2">
        <v>200</v>
      </c>
      <c r="C806" s="1">
        <v>200</v>
      </c>
      <c r="D806" s="1" t="s">
        <v>621</v>
      </c>
      <c r="E806" s="1">
        <v>13</v>
      </c>
      <c r="F806" s="3">
        <v>992.96</v>
      </c>
      <c r="G806" s="1">
        <v>3</v>
      </c>
      <c r="H806" s="1" t="s">
        <v>1826</v>
      </c>
      <c r="I806" s="1" t="s">
        <v>623</v>
      </c>
      <c r="J806" s="1" t="s">
        <v>16</v>
      </c>
      <c r="K806" s="1" t="s">
        <v>1825</v>
      </c>
      <c r="L806" s="1" t="s">
        <v>1748</v>
      </c>
      <c r="M806">
        <f t="shared" si="84"/>
        <v>200</v>
      </c>
      <c r="N806" t="str">
        <f t="shared" si="85"/>
        <v>1950-02-28</v>
      </c>
      <c r="O806">
        <f t="shared" si="86"/>
        <v>61</v>
      </c>
      <c r="P806" t="str">
        <f t="shared" si="87"/>
        <v>kobieta</v>
      </c>
      <c r="Q806">
        <f t="shared" si="88"/>
        <v>14</v>
      </c>
      <c r="R806">
        <f t="shared" si="89"/>
        <v>48</v>
      </c>
      <c r="S806">
        <f t="shared" ca="1" si="90"/>
        <v>0</v>
      </c>
    </row>
    <row r="807" spans="1:19">
      <c r="A807" s="1" t="s">
        <v>12</v>
      </c>
      <c r="B807" s="2">
        <v>350</v>
      </c>
      <c r="C807" s="1">
        <v>350</v>
      </c>
      <c r="D807" s="1" t="s">
        <v>1219</v>
      </c>
      <c r="E807" s="1">
        <v>11</v>
      </c>
      <c r="F807" s="3">
        <v>1348.95</v>
      </c>
      <c r="G807" s="1">
        <v>1</v>
      </c>
      <c r="H807" s="1" t="s">
        <v>1827</v>
      </c>
      <c r="I807" s="1" t="s">
        <v>1221</v>
      </c>
      <c r="J807" s="1" t="s">
        <v>16</v>
      </c>
      <c r="K807" s="1" t="s">
        <v>1825</v>
      </c>
      <c r="L807" s="1" t="s">
        <v>1785</v>
      </c>
      <c r="M807">
        <f t="shared" si="84"/>
        <v>350</v>
      </c>
      <c r="N807" t="str">
        <f t="shared" si="85"/>
        <v>1938-10-07</v>
      </c>
      <c r="O807">
        <f t="shared" si="86"/>
        <v>73</v>
      </c>
      <c r="P807" t="str">
        <f t="shared" si="87"/>
        <v>kobieta</v>
      </c>
      <c r="Q807">
        <f t="shared" si="88"/>
        <v>116</v>
      </c>
      <c r="R807">
        <f t="shared" si="89"/>
        <v>48</v>
      </c>
      <c r="S807">
        <f t="shared" ca="1" si="90"/>
        <v>10</v>
      </c>
    </row>
    <row r="808" spans="1:19">
      <c r="A808" s="1" t="s">
        <v>19</v>
      </c>
      <c r="B808" s="2">
        <v>1000</v>
      </c>
      <c r="C808" s="1">
        <v>1000</v>
      </c>
      <c r="D808" s="1" t="s">
        <v>1299</v>
      </c>
      <c r="E808" s="1">
        <v>13</v>
      </c>
      <c r="F808" s="3">
        <v>3600</v>
      </c>
      <c r="G808" s="1">
        <v>1</v>
      </c>
      <c r="H808" s="1" t="s">
        <v>1828</v>
      </c>
      <c r="I808" s="1" t="s">
        <v>1301</v>
      </c>
      <c r="J808" s="1" t="s">
        <v>16</v>
      </c>
      <c r="K808" s="1" t="s">
        <v>1825</v>
      </c>
      <c r="L808" s="1" t="s">
        <v>1748</v>
      </c>
      <c r="M808">
        <f t="shared" si="84"/>
        <v>1000</v>
      </c>
      <c r="N808" t="str">
        <f t="shared" si="85"/>
        <v>1954-07-09</v>
      </c>
      <c r="O808">
        <f t="shared" si="86"/>
        <v>57</v>
      </c>
      <c r="P808" t="str">
        <f t="shared" si="87"/>
        <v>mężczyzna</v>
      </c>
      <c r="Q808">
        <f t="shared" si="88"/>
        <v>88</v>
      </c>
      <c r="R808">
        <f t="shared" si="89"/>
        <v>48</v>
      </c>
      <c r="S808">
        <f t="shared" ca="1" si="90"/>
        <v>0</v>
      </c>
    </row>
    <row r="809" spans="1:19">
      <c r="A809" s="1" t="s">
        <v>19</v>
      </c>
      <c r="B809" s="2">
        <v>400</v>
      </c>
      <c r="C809" s="1">
        <v>400</v>
      </c>
      <c r="D809" s="1" t="s">
        <v>982</v>
      </c>
      <c r="E809" s="1">
        <v>11</v>
      </c>
      <c r="F809" s="3">
        <v>3300</v>
      </c>
      <c r="G809" s="1">
        <v>0</v>
      </c>
      <c r="H809" s="1" t="s">
        <v>1829</v>
      </c>
      <c r="I809" s="1" t="s">
        <v>984</v>
      </c>
      <c r="J809" s="1" t="s">
        <v>16</v>
      </c>
      <c r="K809" s="1" t="s">
        <v>1825</v>
      </c>
      <c r="L809" s="1" t="s">
        <v>1797</v>
      </c>
      <c r="M809">
        <f t="shared" si="84"/>
        <v>400</v>
      </c>
      <c r="N809" t="str">
        <f t="shared" si="85"/>
        <v>1967-01-04</v>
      </c>
      <c r="O809">
        <f t="shared" si="86"/>
        <v>44</v>
      </c>
      <c r="P809" t="str">
        <f t="shared" si="87"/>
        <v>mężczyzna</v>
      </c>
      <c r="Q809">
        <f t="shared" si="88"/>
        <v>239</v>
      </c>
      <c r="R809">
        <f t="shared" si="89"/>
        <v>48</v>
      </c>
      <c r="S809">
        <f t="shared" ca="1" si="90"/>
        <v>2</v>
      </c>
    </row>
    <row r="810" spans="1:19">
      <c r="A810" s="1" t="s">
        <v>309</v>
      </c>
      <c r="B810" s="2">
        <v>300</v>
      </c>
      <c r="C810" s="1">
        <v>300</v>
      </c>
      <c r="D810" s="1" t="s">
        <v>216</v>
      </c>
      <c r="E810" s="1">
        <v>16</v>
      </c>
      <c r="F810" s="3">
        <v>685</v>
      </c>
      <c r="G810" s="1">
        <v>0</v>
      </c>
      <c r="H810" s="1" t="s">
        <v>1830</v>
      </c>
      <c r="I810" s="1" t="s">
        <v>218</v>
      </c>
      <c r="J810" s="1" t="s">
        <v>16</v>
      </c>
      <c r="K810" s="1" t="s">
        <v>1825</v>
      </c>
      <c r="L810" s="1" t="s">
        <v>1831</v>
      </c>
      <c r="M810">
        <f t="shared" si="84"/>
        <v>300</v>
      </c>
      <c r="N810" t="str">
        <f t="shared" si="85"/>
        <v>1959-07-19</v>
      </c>
      <c r="O810">
        <f t="shared" si="86"/>
        <v>52</v>
      </c>
      <c r="P810" t="str">
        <f t="shared" si="87"/>
        <v>kobieta</v>
      </c>
      <c r="Q810">
        <f t="shared" si="88"/>
        <v>43</v>
      </c>
      <c r="R810">
        <f t="shared" si="89"/>
        <v>48</v>
      </c>
      <c r="S810">
        <f t="shared" ca="1" si="90"/>
        <v>298</v>
      </c>
    </row>
    <row r="811" spans="1:19">
      <c r="A811" s="1" t="s">
        <v>19</v>
      </c>
      <c r="B811" s="2">
        <v>300</v>
      </c>
      <c r="C811" s="1">
        <v>300</v>
      </c>
      <c r="D811" s="1" t="s">
        <v>481</v>
      </c>
      <c r="E811" s="1">
        <v>13</v>
      </c>
      <c r="F811" s="3">
        <v>810</v>
      </c>
      <c r="G811" s="1">
        <v>7</v>
      </c>
      <c r="H811" s="1" t="s">
        <v>1832</v>
      </c>
      <c r="I811" s="1" t="s">
        <v>483</v>
      </c>
      <c r="J811" s="1" t="s">
        <v>16</v>
      </c>
      <c r="K811" s="1" t="s">
        <v>1825</v>
      </c>
      <c r="L811" s="1" t="s">
        <v>1500</v>
      </c>
      <c r="M811">
        <f t="shared" si="84"/>
        <v>300</v>
      </c>
      <c r="N811" t="str">
        <f t="shared" si="85"/>
        <v>1951-03-09</v>
      </c>
      <c r="O811">
        <f t="shared" si="86"/>
        <v>60</v>
      </c>
      <c r="P811" t="str">
        <f t="shared" si="87"/>
        <v>kobieta</v>
      </c>
      <c r="Q811">
        <f t="shared" si="88"/>
        <v>35</v>
      </c>
      <c r="R811">
        <f t="shared" si="89"/>
        <v>48</v>
      </c>
      <c r="S811">
        <f t="shared" ca="1" si="90"/>
        <v>0</v>
      </c>
    </row>
    <row r="812" spans="1:19">
      <c r="A812" s="1" t="s">
        <v>24</v>
      </c>
      <c r="B812" s="2">
        <v>1000</v>
      </c>
      <c r="C812" s="1">
        <v>0</v>
      </c>
      <c r="D812" s="1" t="s">
        <v>1833</v>
      </c>
      <c r="E812" s="1">
        <v>11</v>
      </c>
      <c r="F812" s="3">
        <v>2700</v>
      </c>
      <c r="G812" s="1">
        <v>0</v>
      </c>
      <c r="H812" s="1" t="s">
        <v>1834</v>
      </c>
      <c r="I812" s="1" t="s">
        <v>307</v>
      </c>
      <c r="J812" s="1" t="s">
        <v>16</v>
      </c>
      <c r="K812" s="1" t="s">
        <v>16</v>
      </c>
      <c r="L812" s="1" t="s">
        <v>28</v>
      </c>
      <c r="M812">
        <f t="shared" si="84"/>
        <v>1000</v>
      </c>
      <c r="N812" t="str">
        <f t="shared" si="85"/>
        <v>1966-01-19</v>
      </c>
      <c r="O812">
        <f t="shared" si="86"/>
        <v>45</v>
      </c>
      <c r="P812" t="str">
        <f t="shared" si="87"/>
        <v>mężczyzna</v>
      </c>
      <c r="Q812">
        <f t="shared" si="88"/>
        <v>17</v>
      </c>
      <c r="R812">
        <f t="shared" si="89"/>
        <v>48</v>
      </c>
      <c r="S812">
        <f t="shared" ca="1" si="90"/>
        <v>0</v>
      </c>
    </row>
    <row r="813" spans="1:19">
      <c r="A813" s="1" t="s">
        <v>19</v>
      </c>
      <c r="B813" s="2">
        <v>300</v>
      </c>
      <c r="C813" s="1">
        <v>300</v>
      </c>
      <c r="D813" s="1" t="s">
        <v>1835</v>
      </c>
      <c r="E813" s="1">
        <v>12</v>
      </c>
      <c r="F813" s="3">
        <v>1382</v>
      </c>
      <c r="G813" s="1">
        <v>0</v>
      </c>
      <c r="H813" s="1" t="s">
        <v>1836</v>
      </c>
      <c r="I813" s="1" t="s">
        <v>1837</v>
      </c>
      <c r="J813" s="1" t="s">
        <v>63</v>
      </c>
      <c r="K813" s="1" t="s">
        <v>1825</v>
      </c>
      <c r="L813" s="1" t="s">
        <v>1500</v>
      </c>
      <c r="M813">
        <f t="shared" si="84"/>
        <v>300</v>
      </c>
      <c r="N813" t="str">
        <f t="shared" si="85"/>
        <v>1974-11-18</v>
      </c>
      <c r="O813">
        <f t="shared" si="86"/>
        <v>37</v>
      </c>
      <c r="P813" t="str">
        <f t="shared" si="87"/>
        <v>kobieta</v>
      </c>
      <c r="Q813">
        <f t="shared" si="88"/>
        <v>23</v>
      </c>
      <c r="R813">
        <f t="shared" si="89"/>
        <v>0</v>
      </c>
      <c r="S813">
        <f t="shared" ca="1" si="90"/>
        <v>0</v>
      </c>
    </row>
    <row r="814" spans="1:19">
      <c r="A814" s="1" t="s">
        <v>24</v>
      </c>
      <c r="B814" s="2">
        <v>400</v>
      </c>
      <c r="C814" s="1">
        <v>0</v>
      </c>
      <c r="D814" s="1" t="s">
        <v>1838</v>
      </c>
      <c r="E814" s="1">
        <v>12</v>
      </c>
      <c r="F814" s="3">
        <v>1000</v>
      </c>
      <c r="G814" s="1">
        <v>0</v>
      </c>
      <c r="H814" s="1" t="s">
        <v>1839</v>
      </c>
      <c r="I814" s="1" t="s">
        <v>717</v>
      </c>
      <c r="J814" s="1" t="s">
        <v>1840</v>
      </c>
      <c r="K814" s="1" t="s">
        <v>16</v>
      </c>
      <c r="L814" s="1" t="s">
        <v>28</v>
      </c>
      <c r="M814">
        <f t="shared" si="84"/>
        <v>400</v>
      </c>
      <c r="N814" t="str">
        <f t="shared" si="85"/>
        <v>1991-05-23</v>
      </c>
      <c r="O814">
        <f t="shared" si="86"/>
        <v>20</v>
      </c>
      <c r="P814" t="str">
        <f t="shared" si="87"/>
        <v>mężczyzna</v>
      </c>
      <c r="Q814">
        <f t="shared" si="88"/>
        <v>11</v>
      </c>
      <c r="R814">
        <f t="shared" si="89"/>
        <v>36</v>
      </c>
      <c r="S814">
        <f t="shared" ca="1" si="90"/>
        <v>0</v>
      </c>
    </row>
    <row r="815" spans="1:19">
      <c r="A815" s="1" t="s">
        <v>19</v>
      </c>
      <c r="B815" s="2">
        <v>300</v>
      </c>
      <c r="C815" s="1">
        <v>300</v>
      </c>
      <c r="D815" s="1" t="s">
        <v>164</v>
      </c>
      <c r="E815" s="1">
        <v>11</v>
      </c>
      <c r="F815" s="3">
        <v>1680</v>
      </c>
      <c r="G815" s="1">
        <v>6</v>
      </c>
      <c r="H815" s="1" t="s">
        <v>1841</v>
      </c>
      <c r="I815" s="1" t="s">
        <v>166</v>
      </c>
      <c r="J815" s="1" t="s">
        <v>16</v>
      </c>
      <c r="K815" s="1" t="s">
        <v>1825</v>
      </c>
      <c r="L815" s="1" t="s">
        <v>1528</v>
      </c>
      <c r="M815">
        <f t="shared" si="84"/>
        <v>300</v>
      </c>
      <c r="N815" t="str">
        <f t="shared" si="85"/>
        <v>1954-03-14</v>
      </c>
      <c r="O815">
        <f t="shared" si="86"/>
        <v>57</v>
      </c>
      <c r="P815" t="str">
        <f t="shared" si="87"/>
        <v>kobieta</v>
      </c>
      <c r="Q815">
        <f t="shared" si="88"/>
        <v>387</v>
      </c>
      <c r="R815">
        <f t="shared" si="89"/>
        <v>48</v>
      </c>
      <c r="S815">
        <f t="shared" ca="1" si="90"/>
        <v>4</v>
      </c>
    </row>
    <row r="816" spans="1:19">
      <c r="A816" s="1" t="s">
        <v>12</v>
      </c>
      <c r="B816" s="2">
        <v>350</v>
      </c>
      <c r="C816" s="1">
        <v>350</v>
      </c>
      <c r="D816" s="1" t="s">
        <v>1842</v>
      </c>
      <c r="E816" s="1">
        <v>13</v>
      </c>
      <c r="F816" s="3">
        <v>1500</v>
      </c>
      <c r="G816" s="1">
        <v>0</v>
      </c>
      <c r="H816" s="1" t="s">
        <v>1843</v>
      </c>
      <c r="I816" s="1" t="s">
        <v>1844</v>
      </c>
      <c r="J816" s="1" t="s">
        <v>16</v>
      </c>
      <c r="K816" s="1" t="s">
        <v>1825</v>
      </c>
      <c r="L816" s="1" t="s">
        <v>1528</v>
      </c>
      <c r="M816">
        <f t="shared" si="84"/>
        <v>350</v>
      </c>
      <c r="N816" t="str">
        <f t="shared" si="85"/>
        <v>1953-12-10</v>
      </c>
      <c r="O816">
        <f t="shared" si="86"/>
        <v>58</v>
      </c>
      <c r="P816" t="str">
        <f t="shared" si="87"/>
        <v>kobieta</v>
      </c>
      <c r="Q816">
        <f t="shared" si="88"/>
        <v>48</v>
      </c>
      <c r="R816">
        <f t="shared" si="89"/>
        <v>48</v>
      </c>
      <c r="S816">
        <f t="shared" ca="1" si="90"/>
        <v>4</v>
      </c>
    </row>
    <row r="817" spans="1:19">
      <c r="A817" s="1" t="s">
        <v>12</v>
      </c>
      <c r="B817" s="2">
        <v>500</v>
      </c>
      <c r="C817" s="1">
        <v>500</v>
      </c>
      <c r="D817" s="1" t="s">
        <v>219</v>
      </c>
      <c r="E817" s="1">
        <v>13</v>
      </c>
      <c r="F817" s="3">
        <v>1240</v>
      </c>
      <c r="G817" s="1">
        <v>3</v>
      </c>
      <c r="H817" s="1" t="s">
        <v>1845</v>
      </c>
      <c r="I817" s="1" t="s">
        <v>221</v>
      </c>
      <c r="J817" s="1" t="s">
        <v>16</v>
      </c>
      <c r="K817" s="1" t="s">
        <v>1825</v>
      </c>
      <c r="L817" s="1" t="s">
        <v>1715</v>
      </c>
      <c r="M817">
        <f t="shared" si="84"/>
        <v>500</v>
      </c>
      <c r="N817" t="str">
        <f t="shared" si="85"/>
        <v>1953-12-01</v>
      </c>
      <c r="O817">
        <f t="shared" si="86"/>
        <v>58</v>
      </c>
      <c r="P817" t="str">
        <f t="shared" si="87"/>
        <v>kobieta</v>
      </c>
      <c r="Q817">
        <f t="shared" si="88"/>
        <v>72</v>
      </c>
      <c r="R817">
        <f t="shared" si="89"/>
        <v>48</v>
      </c>
      <c r="S817">
        <f t="shared" ca="1" si="90"/>
        <v>0</v>
      </c>
    </row>
    <row r="818" spans="1:19">
      <c r="A818" s="1" t="s">
        <v>309</v>
      </c>
      <c r="B818" s="2">
        <v>800</v>
      </c>
      <c r="C818" s="1">
        <v>300</v>
      </c>
      <c r="D818" s="1" t="s">
        <v>1846</v>
      </c>
      <c r="E818" s="1">
        <v>11</v>
      </c>
      <c r="F818" s="3">
        <v>1600</v>
      </c>
      <c r="G818" s="1">
        <v>0</v>
      </c>
      <c r="H818" s="1" t="s">
        <v>1847</v>
      </c>
      <c r="I818" s="1" t="s">
        <v>1848</v>
      </c>
      <c r="J818" s="1" t="s">
        <v>16</v>
      </c>
      <c r="K818" s="1" t="s">
        <v>1825</v>
      </c>
      <c r="L818" s="1" t="s">
        <v>1849</v>
      </c>
      <c r="M818">
        <f t="shared" si="84"/>
        <v>300</v>
      </c>
      <c r="N818" t="str">
        <f t="shared" si="85"/>
        <v>1986-03-07</v>
      </c>
      <c r="O818">
        <f t="shared" si="86"/>
        <v>25</v>
      </c>
      <c r="P818" t="str">
        <f t="shared" si="87"/>
        <v>kobieta</v>
      </c>
      <c r="Q818">
        <f t="shared" si="88"/>
        <v>54</v>
      </c>
      <c r="R818">
        <f t="shared" si="89"/>
        <v>48</v>
      </c>
      <c r="S818">
        <f t="shared" ca="1" si="90"/>
        <v>243</v>
      </c>
    </row>
    <row r="819" spans="1:19">
      <c r="A819" s="1" t="s">
        <v>19</v>
      </c>
      <c r="B819" s="2">
        <v>300</v>
      </c>
      <c r="C819" s="1">
        <v>300</v>
      </c>
      <c r="D819" s="1" t="s">
        <v>140</v>
      </c>
      <c r="E819" s="1">
        <v>12</v>
      </c>
      <c r="F819" s="3">
        <v>952.89</v>
      </c>
      <c r="G819" s="1">
        <v>2</v>
      </c>
      <c r="H819" s="1" t="s">
        <v>1850</v>
      </c>
      <c r="I819" s="1" t="s">
        <v>142</v>
      </c>
      <c r="J819" s="1" t="s">
        <v>90</v>
      </c>
      <c r="K819" s="1" t="s">
        <v>1825</v>
      </c>
      <c r="L819" s="1" t="s">
        <v>1778</v>
      </c>
      <c r="M819">
        <f t="shared" si="84"/>
        <v>300</v>
      </c>
      <c r="N819" t="str">
        <f t="shared" si="85"/>
        <v>1990-05-21</v>
      </c>
      <c r="O819">
        <f t="shared" si="86"/>
        <v>21</v>
      </c>
      <c r="P819" t="str">
        <f t="shared" si="87"/>
        <v>mężczyzna</v>
      </c>
      <c r="Q819">
        <f t="shared" si="88"/>
        <v>25</v>
      </c>
      <c r="R819">
        <f t="shared" si="89"/>
        <v>1</v>
      </c>
      <c r="S819">
        <f t="shared" ca="1" si="90"/>
        <v>5</v>
      </c>
    </row>
    <row r="820" spans="1:19">
      <c r="A820" s="1" t="s">
        <v>19</v>
      </c>
      <c r="B820" s="2">
        <v>290</v>
      </c>
      <c r="C820" s="1">
        <v>290</v>
      </c>
      <c r="D820" s="1" t="s">
        <v>433</v>
      </c>
      <c r="E820" s="1">
        <v>13</v>
      </c>
      <c r="F820" s="3">
        <v>1280</v>
      </c>
      <c r="G820" s="1">
        <v>7</v>
      </c>
      <c r="H820" s="1" t="s">
        <v>1851</v>
      </c>
      <c r="I820" s="1" t="s">
        <v>435</v>
      </c>
      <c r="J820" s="1" t="s">
        <v>16</v>
      </c>
      <c r="K820" s="1" t="s">
        <v>1825</v>
      </c>
      <c r="L820" s="1" t="s">
        <v>1748</v>
      </c>
      <c r="M820">
        <f t="shared" si="84"/>
        <v>290</v>
      </c>
      <c r="N820" t="str">
        <f t="shared" si="85"/>
        <v>1950-08-05</v>
      </c>
      <c r="O820">
        <f t="shared" si="86"/>
        <v>61</v>
      </c>
      <c r="P820" t="str">
        <f t="shared" si="87"/>
        <v>kobieta</v>
      </c>
      <c r="Q820">
        <f t="shared" si="88"/>
        <v>19</v>
      </c>
      <c r="R820">
        <f t="shared" si="89"/>
        <v>48</v>
      </c>
      <c r="S820">
        <f t="shared" ca="1" si="90"/>
        <v>0</v>
      </c>
    </row>
    <row r="821" spans="1:19">
      <c r="A821" s="1" t="s">
        <v>19</v>
      </c>
      <c r="B821" s="2">
        <v>600</v>
      </c>
      <c r="C821" s="1">
        <v>300</v>
      </c>
      <c r="D821" s="1" t="s">
        <v>1852</v>
      </c>
      <c r="E821" s="1">
        <v>13</v>
      </c>
      <c r="F821" s="3">
        <v>1400</v>
      </c>
      <c r="G821" s="1">
        <v>0</v>
      </c>
      <c r="H821" s="1" t="s">
        <v>1853</v>
      </c>
      <c r="I821" s="1" t="s">
        <v>1854</v>
      </c>
      <c r="J821" s="1" t="s">
        <v>16</v>
      </c>
      <c r="K821" s="1" t="s">
        <v>1825</v>
      </c>
      <c r="L821" s="1" t="s">
        <v>1528</v>
      </c>
      <c r="M821">
        <f t="shared" si="84"/>
        <v>300</v>
      </c>
      <c r="N821" t="str">
        <f t="shared" si="85"/>
        <v>1946-04-13</v>
      </c>
      <c r="O821">
        <f t="shared" si="86"/>
        <v>65</v>
      </c>
      <c r="P821" t="str">
        <f t="shared" si="87"/>
        <v>kobieta</v>
      </c>
      <c r="Q821">
        <f t="shared" si="88"/>
        <v>120</v>
      </c>
      <c r="R821">
        <f t="shared" si="89"/>
        <v>48</v>
      </c>
      <c r="S821">
        <f t="shared" ca="1" si="90"/>
        <v>4</v>
      </c>
    </row>
    <row r="822" spans="1:19">
      <c r="A822" s="1" t="s">
        <v>12</v>
      </c>
      <c r="B822" s="2">
        <v>200</v>
      </c>
      <c r="C822" s="1">
        <v>200</v>
      </c>
      <c r="D822" s="1" t="s">
        <v>1289</v>
      </c>
      <c r="E822" s="1">
        <v>13</v>
      </c>
      <c r="F822" s="3">
        <v>1611</v>
      </c>
      <c r="G822" s="1">
        <v>1</v>
      </c>
      <c r="H822" s="1" t="s">
        <v>1855</v>
      </c>
      <c r="I822" s="1" t="s">
        <v>356</v>
      </c>
      <c r="J822" s="1" t="s">
        <v>16</v>
      </c>
      <c r="K822" s="1" t="s">
        <v>1825</v>
      </c>
      <c r="L822" s="1" t="s">
        <v>1748</v>
      </c>
      <c r="M822">
        <f t="shared" si="84"/>
        <v>200</v>
      </c>
      <c r="N822" t="str">
        <f t="shared" si="85"/>
        <v>1946-08-03</v>
      </c>
      <c r="O822">
        <f t="shared" si="86"/>
        <v>65</v>
      </c>
      <c r="P822" t="str">
        <f t="shared" si="87"/>
        <v>mężczyzna</v>
      </c>
      <c r="Q822">
        <f t="shared" si="88"/>
        <v>143</v>
      </c>
      <c r="R822">
        <f t="shared" si="89"/>
        <v>48</v>
      </c>
      <c r="S822">
        <f t="shared" ca="1" si="90"/>
        <v>0</v>
      </c>
    </row>
    <row r="823" spans="1:19">
      <c r="A823" s="1" t="s">
        <v>19</v>
      </c>
      <c r="B823" s="2">
        <v>297.27999999999997</v>
      </c>
      <c r="C823" s="1">
        <v>297.27999999999997</v>
      </c>
      <c r="D823" s="1" t="s">
        <v>225</v>
      </c>
      <c r="E823" s="1">
        <v>11</v>
      </c>
      <c r="F823" s="3">
        <v>1077.49</v>
      </c>
      <c r="G823" s="1">
        <v>1</v>
      </c>
      <c r="H823" s="1" t="s">
        <v>1856</v>
      </c>
      <c r="I823" s="1" t="s">
        <v>227</v>
      </c>
      <c r="J823" s="1" t="s">
        <v>16</v>
      </c>
      <c r="K823" s="1" t="s">
        <v>1825</v>
      </c>
      <c r="L823" s="1" t="s">
        <v>1797</v>
      </c>
      <c r="M823">
        <f t="shared" si="84"/>
        <v>297.27999999999997</v>
      </c>
      <c r="N823" t="str">
        <f t="shared" si="85"/>
        <v>1963-09-03</v>
      </c>
      <c r="O823">
        <f t="shared" si="86"/>
        <v>48</v>
      </c>
      <c r="P823" t="str">
        <f t="shared" si="87"/>
        <v>kobieta</v>
      </c>
      <c r="Q823">
        <f t="shared" si="88"/>
        <v>374</v>
      </c>
      <c r="R823">
        <f t="shared" si="89"/>
        <v>48</v>
      </c>
      <c r="S823">
        <f t="shared" ca="1" si="90"/>
        <v>2</v>
      </c>
    </row>
    <row r="824" spans="1:19">
      <c r="A824" s="1" t="s">
        <v>12</v>
      </c>
      <c r="B824" s="2">
        <v>450</v>
      </c>
      <c r="C824" s="1">
        <v>450</v>
      </c>
      <c r="D824" s="1" t="s">
        <v>384</v>
      </c>
      <c r="E824" s="1">
        <v>13</v>
      </c>
      <c r="F824" s="3">
        <v>3900</v>
      </c>
      <c r="G824" s="1">
        <v>0</v>
      </c>
      <c r="H824" s="1" t="s">
        <v>1857</v>
      </c>
      <c r="I824" s="1" t="s">
        <v>386</v>
      </c>
      <c r="J824" s="1" t="s">
        <v>16</v>
      </c>
      <c r="K824" s="1" t="s">
        <v>1825</v>
      </c>
      <c r="L824" s="1" t="s">
        <v>1728</v>
      </c>
      <c r="M824">
        <f t="shared" si="84"/>
        <v>450</v>
      </c>
      <c r="N824" t="str">
        <f t="shared" si="85"/>
        <v>1952-08-15</v>
      </c>
      <c r="O824">
        <f t="shared" si="86"/>
        <v>59</v>
      </c>
      <c r="P824" t="str">
        <f t="shared" si="87"/>
        <v>mężczyzna</v>
      </c>
      <c r="Q824">
        <f t="shared" si="88"/>
        <v>116</v>
      </c>
      <c r="R824">
        <f t="shared" si="89"/>
        <v>48</v>
      </c>
      <c r="S824">
        <f t="shared" ca="1" si="90"/>
        <v>3</v>
      </c>
    </row>
    <row r="825" spans="1:19">
      <c r="A825" s="1" t="s">
        <v>19</v>
      </c>
      <c r="B825" s="2">
        <v>400</v>
      </c>
      <c r="C825" s="1">
        <v>400</v>
      </c>
      <c r="D825" s="1" t="s">
        <v>1324</v>
      </c>
      <c r="E825" s="1">
        <v>13</v>
      </c>
      <c r="F825" s="3">
        <v>1800</v>
      </c>
      <c r="G825" s="1">
        <v>1</v>
      </c>
      <c r="H825" s="1" t="s">
        <v>1858</v>
      </c>
      <c r="I825" s="1" t="s">
        <v>328</v>
      </c>
      <c r="J825" s="1" t="s">
        <v>16</v>
      </c>
      <c r="K825" s="1" t="s">
        <v>1825</v>
      </c>
      <c r="L825" s="1" t="s">
        <v>1715</v>
      </c>
      <c r="M825">
        <f t="shared" si="84"/>
        <v>400</v>
      </c>
      <c r="N825" t="str">
        <f t="shared" si="85"/>
        <v>1951-01-24</v>
      </c>
      <c r="O825">
        <f t="shared" si="86"/>
        <v>60</v>
      </c>
      <c r="P825" t="str">
        <f t="shared" si="87"/>
        <v>kobieta</v>
      </c>
      <c r="Q825">
        <f t="shared" si="88"/>
        <v>71</v>
      </c>
      <c r="R825">
        <f t="shared" si="89"/>
        <v>48</v>
      </c>
      <c r="S825">
        <f t="shared" ca="1" si="90"/>
        <v>0</v>
      </c>
    </row>
    <row r="826" spans="1:19">
      <c r="A826" s="1" t="s">
        <v>12</v>
      </c>
      <c r="B826" s="2">
        <v>250</v>
      </c>
      <c r="C826" s="1">
        <v>250</v>
      </c>
      <c r="D826" s="1" t="s">
        <v>350</v>
      </c>
      <c r="E826" s="1">
        <v>12</v>
      </c>
      <c r="F826" s="3">
        <v>1500</v>
      </c>
      <c r="G826" s="1">
        <v>1</v>
      </c>
      <c r="H826" s="1" t="s">
        <v>1859</v>
      </c>
      <c r="I826" s="1" t="s">
        <v>352</v>
      </c>
      <c r="J826" s="1" t="s">
        <v>1860</v>
      </c>
      <c r="K826" s="1" t="s">
        <v>1861</v>
      </c>
      <c r="L826" s="1" t="s">
        <v>1430</v>
      </c>
      <c r="M826">
        <f t="shared" si="84"/>
        <v>250</v>
      </c>
      <c r="N826" t="str">
        <f t="shared" si="85"/>
        <v>1990-08-20</v>
      </c>
      <c r="O826">
        <f t="shared" si="86"/>
        <v>21</v>
      </c>
      <c r="P826" t="str">
        <f t="shared" si="87"/>
        <v>mężczyzna</v>
      </c>
      <c r="Q826">
        <f t="shared" si="88"/>
        <v>8</v>
      </c>
      <c r="R826">
        <f t="shared" si="89"/>
        <v>3</v>
      </c>
      <c r="S826">
        <f t="shared" ca="1" si="90"/>
        <v>0</v>
      </c>
    </row>
    <row r="827" spans="1:19">
      <c r="A827" s="1" t="s">
        <v>19</v>
      </c>
      <c r="B827" s="2">
        <v>800</v>
      </c>
      <c r="C827" s="1">
        <v>800</v>
      </c>
      <c r="D827" s="1" t="s">
        <v>575</v>
      </c>
      <c r="E827" s="1">
        <v>13</v>
      </c>
      <c r="F827" s="3">
        <v>5100</v>
      </c>
      <c r="G827" s="1">
        <v>2</v>
      </c>
      <c r="H827" s="1" t="s">
        <v>1862</v>
      </c>
      <c r="I827" s="1" t="s">
        <v>577</v>
      </c>
      <c r="J827" s="1" t="s">
        <v>16</v>
      </c>
      <c r="K827" s="1" t="s">
        <v>1861</v>
      </c>
      <c r="L827" s="1" t="s">
        <v>1797</v>
      </c>
      <c r="M827">
        <f t="shared" si="84"/>
        <v>800</v>
      </c>
      <c r="N827" t="str">
        <f t="shared" si="85"/>
        <v>1950-08-28</v>
      </c>
      <c r="O827">
        <f t="shared" si="86"/>
        <v>61</v>
      </c>
      <c r="P827" t="str">
        <f t="shared" si="87"/>
        <v>kobieta</v>
      </c>
      <c r="Q827">
        <f t="shared" si="88"/>
        <v>30</v>
      </c>
      <c r="R827">
        <f t="shared" si="89"/>
        <v>48</v>
      </c>
      <c r="S827">
        <f t="shared" ca="1" si="90"/>
        <v>0</v>
      </c>
    </row>
    <row r="828" spans="1:19">
      <c r="A828" s="1" t="s">
        <v>19</v>
      </c>
      <c r="B828" s="2">
        <v>600</v>
      </c>
      <c r="C828" s="1">
        <v>600</v>
      </c>
      <c r="D828" s="1" t="s">
        <v>198</v>
      </c>
      <c r="E828" s="1">
        <v>98</v>
      </c>
      <c r="F828" s="3">
        <v>5000</v>
      </c>
      <c r="G828" s="1">
        <v>2</v>
      </c>
      <c r="H828" s="1" t="s">
        <v>1863</v>
      </c>
      <c r="I828" s="1" t="s">
        <v>200</v>
      </c>
      <c r="J828" s="1" t="s">
        <v>16</v>
      </c>
      <c r="K828" s="1" t="s">
        <v>1861</v>
      </c>
      <c r="L828" s="1" t="s">
        <v>1864</v>
      </c>
      <c r="M828">
        <f t="shared" si="84"/>
        <v>600</v>
      </c>
      <c r="N828" t="str">
        <f t="shared" si="85"/>
        <v>1970-10-26</v>
      </c>
      <c r="O828">
        <f t="shared" si="86"/>
        <v>41</v>
      </c>
      <c r="P828" t="str">
        <f t="shared" si="87"/>
        <v>kobieta</v>
      </c>
      <c r="Q828">
        <f t="shared" si="88"/>
        <v>86</v>
      </c>
      <c r="R828">
        <f t="shared" si="89"/>
        <v>48</v>
      </c>
      <c r="S828">
        <f t="shared" ca="1" si="90"/>
        <v>14</v>
      </c>
    </row>
    <row r="829" spans="1:19">
      <c r="A829" s="1" t="s">
        <v>19</v>
      </c>
      <c r="B829" s="2">
        <v>700</v>
      </c>
      <c r="C829" s="1">
        <v>500</v>
      </c>
      <c r="D829" s="1" t="s">
        <v>1865</v>
      </c>
      <c r="E829" s="1">
        <v>13</v>
      </c>
      <c r="F829" s="3">
        <v>1300</v>
      </c>
      <c r="G829" s="1">
        <v>0</v>
      </c>
      <c r="H829" s="1" t="s">
        <v>1866</v>
      </c>
      <c r="I829" s="1" t="s">
        <v>145</v>
      </c>
      <c r="J829" s="1" t="s">
        <v>16</v>
      </c>
      <c r="K829" s="1" t="s">
        <v>1861</v>
      </c>
      <c r="L829" s="1" t="s">
        <v>1797</v>
      </c>
      <c r="M829">
        <f t="shared" si="84"/>
        <v>500</v>
      </c>
      <c r="N829" t="str">
        <f t="shared" si="85"/>
        <v>1952-04-17</v>
      </c>
      <c r="O829">
        <f t="shared" si="86"/>
        <v>59</v>
      </c>
      <c r="P829" t="str">
        <f t="shared" si="87"/>
        <v>kobieta</v>
      </c>
      <c r="Q829">
        <f t="shared" si="88"/>
        <v>32</v>
      </c>
      <c r="R829">
        <f t="shared" si="89"/>
        <v>48</v>
      </c>
      <c r="S829">
        <f t="shared" ca="1" si="90"/>
        <v>0</v>
      </c>
    </row>
    <row r="830" spans="1:19">
      <c r="A830" s="1" t="s">
        <v>19</v>
      </c>
      <c r="B830" s="2">
        <v>500</v>
      </c>
      <c r="C830" s="1">
        <v>500</v>
      </c>
      <c r="D830" s="1" t="s">
        <v>1326</v>
      </c>
      <c r="E830" s="1">
        <v>11</v>
      </c>
      <c r="F830" s="3">
        <v>3000</v>
      </c>
      <c r="G830" s="1">
        <v>1</v>
      </c>
      <c r="H830" s="1" t="s">
        <v>1867</v>
      </c>
      <c r="I830" s="1" t="s">
        <v>822</v>
      </c>
      <c r="J830" s="1" t="s">
        <v>16</v>
      </c>
      <c r="K830" s="1" t="s">
        <v>1861</v>
      </c>
      <c r="L830" s="1" t="s">
        <v>1797</v>
      </c>
      <c r="M830">
        <f t="shared" si="84"/>
        <v>500</v>
      </c>
      <c r="N830" t="str">
        <f t="shared" si="85"/>
        <v>1966-10-05</v>
      </c>
      <c r="O830">
        <f t="shared" si="86"/>
        <v>45</v>
      </c>
      <c r="P830" t="str">
        <f t="shared" si="87"/>
        <v>kobieta</v>
      </c>
      <c r="Q830">
        <f t="shared" si="88"/>
        <v>95</v>
      </c>
      <c r="R830">
        <f t="shared" si="89"/>
        <v>48</v>
      </c>
      <c r="S830">
        <f t="shared" ca="1" si="90"/>
        <v>0</v>
      </c>
    </row>
    <row r="831" spans="1:19">
      <c r="A831" s="1" t="s">
        <v>12</v>
      </c>
      <c r="B831" s="2">
        <v>600</v>
      </c>
      <c r="C831" s="1">
        <v>400</v>
      </c>
      <c r="D831" s="1" t="s">
        <v>1868</v>
      </c>
      <c r="E831" s="1">
        <v>13</v>
      </c>
      <c r="F831" s="3">
        <v>1300</v>
      </c>
      <c r="G831" s="1">
        <v>0</v>
      </c>
      <c r="H831" s="1" t="s">
        <v>1869</v>
      </c>
      <c r="I831" s="1" t="s">
        <v>1747</v>
      </c>
      <c r="J831" s="1" t="s">
        <v>16</v>
      </c>
      <c r="K831" s="1" t="s">
        <v>1861</v>
      </c>
      <c r="L831" s="1" t="s">
        <v>1797</v>
      </c>
      <c r="M831">
        <f t="shared" si="84"/>
        <v>400</v>
      </c>
      <c r="N831" t="str">
        <f t="shared" si="85"/>
        <v>1953-11-15</v>
      </c>
      <c r="O831">
        <f t="shared" si="86"/>
        <v>58</v>
      </c>
      <c r="P831" t="str">
        <f t="shared" si="87"/>
        <v>kobieta</v>
      </c>
      <c r="Q831">
        <f t="shared" si="88"/>
        <v>36</v>
      </c>
      <c r="R831">
        <f t="shared" si="89"/>
        <v>48</v>
      </c>
      <c r="S831">
        <f t="shared" ca="1" si="90"/>
        <v>0</v>
      </c>
    </row>
    <row r="832" spans="1:19">
      <c r="A832" s="1" t="s">
        <v>19</v>
      </c>
      <c r="B832" s="2">
        <v>500</v>
      </c>
      <c r="C832" s="1">
        <v>500</v>
      </c>
      <c r="D832" s="1" t="s">
        <v>193</v>
      </c>
      <c r="E832" s="1">
        <v>11</v>
      </c>
      <c r="F832" s="3">
        <v>1700</v>
      </c>
      <c r="G832" s="1">
        <v>6</v>
      </c>
      <c r="H832" s="1" t="s">
        <v>1870</v>
      </c>
      <c r="I832" s="1" t="s">
        <v>195</v>
      </c>
      <c r="J832" s="1" t="s">
        <v>16</v>
      </c>
      <c r="K832" s="1" t="s">
        <v>1861</v>
      </c>
      <c r="L832" s="1" t="s">
        <v>1528</v>
      </c>
      <c r="M832">
        <f t="shared" si="84"/>
        <v>500</v>
      </c>
      <c r="N832" t="str">
        <f t="shared" si="85"/>
        <v>1960-01-08</v>
      </c>
      <c r="O832">
        <f t="shared" si="86"/>
        <v>51</v>
      </c>
      <c r="P832" t="str">
        <f t="shared" si="87"/>
        <v>kobieta</v>
      </c>
      <c r="Q832">
        <f t="shared" si="88"/>
        <v>308</v>
      </c>
      <c r="R832">
        <f t="shared" si="89"/>
        <v>48</v>
      </c>
      <c r="S832">
        <f t="shared" ca="1" si="90"/>
        <v>2</v>
      </c>
    </row>
    <row r="833" spans="1:19">
      <c r="A833" s="1" t="s">
        <v>19</v>
      </c>
      <c r="B833" s="2">
        <v>400</v>
      </c>
      <c r="C833" s="1">
        <v>400</v>
      </c>
      <c r="D833" s="1" t="s">
        <v>343</v>
      </c>
      <c r="E833" s="1">
        <v>13</v>
      </c>
      <c r="F833" s="3">
        <v>850</v>
      </c>
      <c r="G833" s="1">
        <v>6</v>
      </c>
      <c r="H833" s="1" t="s">
        <v>1871</v>
      </c>
      <c r="I833" s="1" t="s">
        <v>345</v>
      </c>
      <c r="J833" s="1" t="s">
        <v>16</v>
      </c>
      <c r="K833" s="1" t="s">
        <v>1861</v>
      </c>
      <c r="L833" s="1" t="s">
        <v>1528</v>
      </c>
      <c r="M833">
        <f t="shared" si="84"/>
        <v>400</v>
      </c>
      <c r="N833" t="str">
        <f t="shared" si="85"/>
        <v>1945-10-21</v>
      </c>
      <c r="O833">
        <f t="shared" si="86"/>
        <v>66</v>
      </c>
      <c r="P833" t="str">
        <f t="shared" si="87"/>
        <v>kobieta</v>
      </c>
      <c r="Q833">
        <f t="shared" si="88"/>
        <v>69</v>
      </c>
      <c r="R833">
        <f t="shared" si="89"/>
        <v>48</v>
      </c>
      <c r="S833">
        <f t="shared" ca="1" si="90"/>
        <v>2</v>
      </c>
    </row>
    <row r="834" spans="1:19">
      <c r="A834" s="1" t="s">
        <v>19</v>
      </c>
      <c r="B834" s="2">
        <v>392.82</v>
      </c>
      <c r="C834" s="1">
        <v>392.82</v>
      </c>
      <c r="D834" s="1" t="s">
        <v>1147</v>
      </c>
      <c r="E834" s="1">
        <v>11</v>
      </c>
      <c r="F834" s="3">
        <v>1400</v>
      </c>
      <c r="G834" s="1">
        <v>1</v>
      </c>
      <c r="H834" s="1" t="s">
        <v>1872</v>
      </c>
      <c r="I834" s="1" t="s">
        <v>1149</v>
      </c>
      <c r="J834" s="1" t="s">
        <v>16</v>
      </c>
      <c r="K834" s="1" t="s">
        <v>1861</v>
      </c>
      <c r="L834" s="1" t="s">
        <v>1528</v>
      </c>
      <c r="M834">
        <f t="shared" si="84"/>
        <v>392.82</v>
      </c>
      <c r="N834" t="str">
        <f t="shared" si="85"/>
        <v>1960-05-22</v>
      </c>
      <c r="O834">
        <f t="shared" si="86"/>
        <v>51</v>
      </c>
      <c r="P834" t="str">
        <f t="shared" si="87"/>
        <v>mężczyzna</v>
      </c>
      <c r="Q834">
        <f t="shared" si="88"/>
        <v>41</v>
      </c>
      <c r="R834">
        <f t="shared" si="89"/>
        <v>48</v>
      </c>
      <c r="S834">
        <f t="shared" ca="1" si="90"/>
        <v>2</v>
      </c>
    </row>
    <row r="835" spans="1:19">
      <c r="A835" s="1" t="s">
        <v>19</v>
      </c>
      <c r="B835" s="2">
        <v>200</v>
      </c>
      <c r="C835" s="1">
        <v>200</v>
      </c>
      <c r="D835" s="1" t="s">
        <v>642</v>
      </c>
      <c r="E835" s="1">
        <v>13</v>
      </c>
      <c r="F835" s="3">
        <v>984</v>
      </c>
      <c r="G835" s="1">
        <v>2</v>
      </c>
      <c r="H835" s="1" t="s">
        <v>1873</v>
      </c>
      <c r="I835" s="1" t="s">
        <v>644</v>
      </c>
      <c r="J835" s="1" t="s">
        <v>16</v>
      </c>
      <c r="K835" s="1" t="s">
        <v>1861</v>
      </c>
      <c r="L835" s="1" t="s">
        <v>1528</v>
      </c>
      <c r="M835">
        <f t="shared" ref="M835:M898" si="91">IF(A835="odmowa", B835,C835)</f>
        <v>200</v>
      </c>
      <c r="N835" t="str">
        <f t="shared" ref="N835:N898" si="92">CONCATENATE("19", MID(D835, 1, 2), "-", MID(D835, 3, 2), "-", MID(D835, 5, 2))</f>
        <v>1950-07-18</v>
      </c>
      <c r="O835">
        <f t="shared" ref="O835:O898" si="93">YEAR(H835) - YEAR(N835)</f>
        <v>61</v>
      </c>
      <c r="P835" t="str">
        <f t="shared" ref="P835:P898" si="94">IF(MOD(MID(D835, 10, 1), 2)=0, "kobieta", "mężczyzna")</f>
        <v>kobieta</v>
      </c>
      <c r="Q835">
        <f t="shared" ref="Q835:Q898" si="95">(YEAR(H835) - YEAR(I835)) * 12 + MONTH(H835) - MONTH(I835)</f>
        <v>13</v>
      </c>
      <c r="R835">
        <f t="shared" ref="R835:R898" si="96">IF(LEFT(J835, 4)="0000", 48, MIN(48, (YEAR(J835) - YEAR(H835)) * 12 + MONTH(J835) - MONTH(H835)))</f>
        <v>48</v>
      </c>
      <c r="S835">
        <f t="shared" ref="S835:S898" ca="1" si="97">IF(LEFT(K835, 4)="0000", 0, IF(LEFT(L835, 4)="0000", MAX(0, TODAY() - K835), MAX(0, L835 - K835)))</f>
        <v>2</v>
      </c>
    </row>
    <row r="836" spans="1:19">
      <c r="A836" s="1" t="s">
        <v>19</v>
      </c>
      <c r="B836" s="2">
        <v>200</v>
      </c>
      <c r="C836" s="1">
        <v>200</v>
      </c>
      <c r="D836" s="1" t="s">
        <v>1317</v>
      </c>
      <c r="E836" s="1">
        <v>13</v>
      </c>
      <c r="F836" s="3">
        <v>965</v>
      </c>
      <c r="G836" s="1">
        <v>6</v>
      </c>
      <c r="H836" s="1" t="s">
        <v>1874</v>
      </c>
      <c r="I836" s="1" t="s">
        <v>1319</v>
      </c>
      <c r="J836" s="1" t="s">
        <v>16</v>
      </c>
      <c r="K836" s="1" t="s">
        <v>1861</v>
      </c>
      <c r="L836" s="1" t="s">
        <v>1785</v>
      </c>
      <c r="M836">
        <f t="shared" si="91"/>
        <v>200</v>
      </c>
      <c r="N836" t="str">
        <f t="shared" si="92"/>
        <v>1936-08-24</v>
      </c>
      <c r="O836">
        <f t="shared" si="93"/>
        <v>75</v>
      </c>
      <c r="P836" t="str">
        <f t="shared" si="94"/>
        <v>kobieta</v>
      </c>
      <c r="Q836">
        <f t="shared" si="95"/>
        <v>247</v>
      </c>
      <c r="R836">
        <f t="shared" si="96"/>
        <v>48</v>
      </c>
      <c r="S836">
        <f t="shared" ca="1" si="97"/>
        <v>8</v>
      </c>
    </row>
    <row r="837" spans="1:19">
      <c r="A837" s="1" t="s">
        <v>19</v>
      </c>
      <c r="B837" s="2">
        <v>300</v>
      </c>
      <c r="C837" s="1">
        <v>300</v>
      </c>
      <c r="D837" s="1" t="s">
        <v>446</v>
      </c>
      <c r="E837" s="1">
        <v>11</v>
      </c>
      <c r="F837" s="3">
        <v>2100</v>
      </c>
      <c r="G837" s="1">
        <v>2</v>
      </c>
      <c r="H837" s="1" t="s">
        <v>1875</v>
      </c>
      <c r="I837" s="1" t="s">
        <v>448</v>
      </c>
      <c r="J837" s="1" t="s">
        <v>16</v>
      </c>
      <c r="K837" s="1" t="s">
        <v>1861</v>
      </c>
      <c r="L837" s="1" t="s">
        <v>1797</v>
      </c>
      <c r="M837">
        <f t="shared" si="91"/>
        <v>300</v>
      </c>
      <c r="N837" t="str">
        <f t="shared" si="92"/>
        <v>1966-01-30</v>
      </c>
      <c r="O837">
        <f t="shared" si="93"/>
        <v>45</v>
      </c>
      <c r="P837" t="str">
        <f t="shared" si="94"/>
        <v>mężczyzna</v>
      </c>
      <c r="Q837">
        <f t="shared" si="95"/>
        <v>52</v>
      </c>
      <c r="R837">
        <f t="shared" si="96"/>
        <v>48</v>
      </c>
      <c r="S837">
        <f t="shared" ca="1" si="97"/>
        <v>0</v>
      </c>
    </row>
    <row r="838" spans="1:19">
      <c r="A838" s="1" t="s">
        <v>19</v>
      </c>
      <c r="B838" s="2">
        <v>400</v>
      </c>
      <c r="C838" s="1">
        <v>400</v>
      </c>
      <c r="D838" s="1" t="s">
        <v>514</v>
      </c>
      <c r="E838" s="1">
        <v>13</v>
      </c>
      <c r="F838" s="3">
        <v>1900</v>
      </c>
      <c r="G838" s="1">
        <v>3</v>
      </c>
      <c r="H838" s="1" t="s">
        <v>1876</v>
      </c>
      <c r="I838" s="1" t="s">
        <v>319</v>
      </c>
      <c r="J838" s="1" t="s">
        <v>16</v>
      </c>
      <c r="K838" s="1" t="s">
        <v>1861</v>
      </c>
      <c r="L838" s="1" t="s">
        <v>1728</v>
      </c>
      <c r="M838">
        <f t="shared" si="91"/>
        <v>400</v>
      </c>
      <c r="N838" t="str">
        <f t="shared" si="92"/>
        <v>1936-04-01</v>
      </c>
      <c r="O838">
        <f t="shared" si="93"/>
        <v>75</v>
      </c>
      <c r="P838" t="str">
        <f t="shared" si="94"/>
        <v>kobieta</v>
      </c>
      <c r="Q838">
        <f t="shared" si="95"/>
        <v>123</v>
      </c>
      <c r="R838">
        <f t="shared" si="96"/>
        <v>48</v>
      </c>
      <c r="S838">
        <f t="shared" ca="1" si="97"/>
        <v>1</v>
      </c>
    </row>
    <row r="839" spans="1:19">
      <c r="A839" s="1" t="s">
        <v>19</v>
      </c>
      <c r="B839" s="2">
        <v>389.72</v>
      </c>
      <c r="C839" s="1">
        <v>389.72</v>
      </c>
      <c r="D839" s="1" t="s">
        <v>508</v>
      </c>
      <c r="E839" s="1">
        <v>98</v>
      </c>
      <c r="F839" s="3">
        <v>3000</v>
      </c>
      <c r="G839" s="1">
        <v>3</v>
      </c>
      <c r="H839" s="1" t="s">
        <v>1877</v>
      </c>
      <c r="I839" s="1" t="s">
        <v>333</v>
      </c>
      <c r="J839" s="1" t="s">
        <v>16</v>
      </c>
      <c r="K839" s="1" t="s">
        <v>1861</v>
      </c>
      <c r="L839" s="1" t="s">
        <v>1728</v>
      </c>
      <c r="M839">
        <f t="shared" si="91"/>
        <v>389.72</v>
      </c>
      <c r="N839" t="str">
        <f t="shared" si="92"/>
        <v>1959-03-02</v>
      </c>
      <c r="O839">
        <f t="shared" si="93"/>
        <v>52</v>
      </c>
      <c r="P839" t="str">
        <f t="shared" si="94"/>
        <v>kobieta</v>
      </c>
      <c r="Q839">
        <f t="shared" si="95"/>
        <v>87</v>
      </c>
      <c r="R839">
        <f t="shared" si="96"/>
        <v>48</v>
      </c>
      <c r="S839">
        <f t="shared" ca="1" si="97"/>
        <v>1</v>
      </c>
    </row>
    <row r="840" spans="1:19">
      <c r="A840" s="1" t="s">
        <v>19</v>
      </c>
      <c r="B840" s="2">
        <v>200</v>
      </c>
      <c r="C840" s="1">
        <v>200</v>
      </c>
      <c r="D840" s="1" t="s">
        <v>314</v>
      </c>
      <c r="E840" s="1">
        <v>11</v>
      </c>
      <c r="F840" s="3">
        <v>2094.17</v>
      </c>
      <c r="G840" s="1">
        <v>3</v>
      </c>
      <c r="H840" s="1" t="s">
        <v>1878</v>
      </c>
      <c r="I840" s="1" t="s">
        <v>316</v>
      </c>
      <c r="J840" s="1" t="s">
        <v>16</v>
      </c>
      <c r="K840" s="1" t="s">
        <v>1861</v>
      </c>
      <c r="L840" s="1" t="s">
        <v>1698</v>
      </c>
      <c r="M840">
        <f t="shared" si="91"/>
        <v>200</v>
      </c>
      <c r="N840" t="str">
        <f t="shared" si="92"/>
        <v>1958-03-18</v>
      </c>
      <c r="O840">
        <f t="shared" si="93"/>
        <v>53</v>
      </c>
      <c r="P840" t="str">
        <f t="shared" si="94"/>
        <v>mężczyzna</v>
      </c>
      <c r="Q840">
        <f t="shared" si="95"/>
        <v>243</v>
      </c>
      <c r="R840">
        <f t="shared" si="96"/>
        <v>48</v>
      </c>
      <c r="S840">
        <f t="shared" ca="1" si="97"/>
        <v>4</v>
      </c>
    </row>
    <row r="841" spans="1:19">
      <c r="A841" s="1" t="s">
        <v>19</v>
      </c>
      <c r="B841" s="2">
        <v>478.6</v>
      </c>
      <c r="C841" s="1">
        <v>478.6</v>
      </c>
      <c r="D841" s="1" t="s">
        <v>1260</v>
      </c>
      <c r="E841" s="1">
        <v>11</v>
      </c>
      <c r="F841" s="3">
        <v>2245.0100000000002</v>
      </c>
      <c r="G841" s="1">
        <v>1</v>
      </c>
      <c r="H841" s="1" t="s">
        <v>1879</v>
      </c>
      <c r="I841" s="1" t="s">
        <v>1262</v>
      </c>
      <c r="J841" s="1" t="s">
        <v>16</v>
      </c>
      <c r="K841" s="1" t="s">
        <v>1861</v>
      </c>
      <c r="L841" s="1" t="s">
        <v>1728</v>
      </c>
      <c r="M841">
        <f t="shared" si="91"/>
        <v>478.6</v>
      </c>
      <c r="N841" t="str">
        <f t="shared" si="92"/>
        <v>1967-01-03</v>
      </c>
      <c r="O841">
        <f t="shared" si="93"/>
        <v>44</v>
      </c>
      <c r="P841" t="str">
        <f t="shared" si="94"/>
        <v>kobieta</v>
      </c>
      <c r="Q841">
        <f t="shared" si="95"/>
        <v>148</v>
      </c>
      <c r="R841">
        <f t="shared" si="96"/>
        <v>48</v>
      </c>
      <c r="S841">
        <f t="shared" ca="1" si="97"/>
        <v>1</v>
      </c>
    </row>
    <row r="842" spans="1:19">
      <c r="A842" s="1" t="s">
        <v>12</v>
      </c>
      <c r="B842" s="2">
        <v>600</v>
      </c>
      <c r="C842" s="1">
        <v>400</v>
      </c>
      <c r="D842" s="1" t="s">
        <v>1880</v>
      </c>
      <c r="E842" s="1">
        <v>11</v>
      </c>
      <c r="F842" s="3">
        <v>1186</v>
      </c>
      <c r="G842" s="1">
        <v>0</v>
      </c>
      <c r="H842" s="1" t="s">
        <v>1881</v>
      </c>
      <c r="I842" s="1" t="s">
        <v>729</v>
      </c>
      <c r="J842" s="1" t="s">
        <v>16</v>
      </c>
      <c r="K842" s="1" t="s">
        <v>1861</v>
      </c>
      <c r="L842" s="1" t="s">
        <v>1457</v>
      </c>
      <c r="M842">
        <f t="shared" si="91"/>
        <v>400</v>
      </c>
      <c r="N842" t="str">
        <f t="shared" si="92"/>
        <v>1976-10-20</v>
      </c>
      <c r="O842">
        <f t="shared" si="93"/>
        <v>35</v>
      </c>
      <c r="P842" t="str">
        <f t="shared" si="94"/>
        <v>mężczyzna</v>
      </c>
      <c r="Q842">
        <f t="shared" si="95"/>
        <v>12</v>
      </c>
      <c r="R842">
        <f t="shared" si="96"/>
        <v>48</v>
      </c>
      <c r="S842">
        <f t="shared" ca="1" si="97"/>
        <v>0</v>
      </c>
    </row>
    <row r="843" spans="1:19">
      <c r="A843" s="1" t="s">
        <v>19</v>
      </c>
      <c r="B843" s="2">
        <v>200</v>
      </c>
      <c r="C843" s="1">
        <v>200</v>
      </c>
      <c r="D843" s="1" t="s">
        <v>1882</v>
      </c>
      <c r="E843" s="1">
        <v>13</v>
      </c>
      <c r="F843" s="3">
        <v>744.07</v>
      </c>
      <c r="G843" s="1">
        <v>0</v>
      </c>
      <c r="H843" s="1" t="s">
        <v>1883</v>
      </c>
      <c r="I843" s="1" t="s">
        <v>1884</v>
      </c>
      <c r="J843" s="1" t="s">
        <v>16</v>
      </c>
      <c r="K843" s="1" t="s">
        <v>1885</v>
      </c>
      <c r="L843" s="1" t="s">
        <v>1778</v>
      </c>
      <c r="M843">
        <f t="shared" si="91"/>
        <v>200</v>
      </c>
      <c r="N843" t="str">
        <f t="shared" si="92"/>
        <v>1950-10-30</v>
      </c>
      <c r="O843">
        <f t="shared" si="93"/>
        <v>61</v>
      </c>
      <c r="P843" t="str">
        <f t="shared" si="94"/>
        <v>kobieta</v>
      </c>
      <c r="Q843">
        <f t="shared" si="95"/>
        <v>15</v>
      </c>
      <c r="R843">
        <f t="shared" si="96"/>
        <v>48</v>
      </c>
      <c r="S843">
        <f t="shared" ca="1" si="97"/>
        <v>0</v>
      </c>
    </row>
    <row r="844" spans="1:19">
      <c r="A844" s="1" t="s">
        <v>19</v>
      </c>
      <c r="B844" s="2">
        <v>339.72</v>
      </c>
      <c r="C844" s="1">
        <v>339.72</v>
      </c>
      <c r="D844" s="1" t="s">
        <v>1371</v>
      </c>
      <c r="E844" s="1">
        <v>13</v>
      </c>
      <c r="F844" s="3">
        <v>1162.4100000000001</v>
      </c>
      <c r="G844" s="1">
        <v>1</v>
      </c>
      <c r="H844" s="1" t="s">
        <v>1886</v>
      </c>
      <c r="I844" s="1" t="s">
        <v>1373</v>
      </c>
      <c r="J844" s="1" t="s">
        <v>16</v>
      </c>
      <c r="K844" s="1" t="s">
        <v>1885</v>
      </c>
      <c r="L844" s="1" t="s">
        <v>1778</v>
      </c>
      <c r="M844">
        <f t="shared" si="91"/>
        <v>339.72</v>
      </c>
      <c r="N844" t="str">
        <f t="shared" si="92"/>
        <v>1943-02-21</v>
      </c>
      <c r="O844">
        <f t="shared" si="93"/>
        <v>68</v>
      </c>
      <c r="P844" t="str">
        <f t="shared" si="94"/>
        <v>mężczyzna</v>
      </c>
      <c r="Q844">
        <f t="shared" si="95"/>
        <v>106</v>
      </c>
      <c r="R844">
        <f t="shared" si="96"/>
        <v>48</v>
      </c>
      <c r="S844">
        <f t="shared" ca="1" si="97"/>
        <v>0</v>
      </c>
    </row>
    <row r="845" spans="1:19">
      <c r="A845" s="1" t="s">
        <v>56</v>
      </c>
      <c r="B845" s="2">
        <v>300</v>
      </c>
      <c r="C845" s="1">
        <v>300</v>
      </c>
      <c r="D845" s="1" t="s">
        <v>131</v>
      </c>
      <c r="E845" s="1">
        <v>16</v>
      </c>
      <c r="F845" s="3">
        <v>1132</v>
      </c>
      <c r="G845" s="1">
        <v>3</v>
      </c>
      <c r="H845" s="1" t="s">
        <v>1887</v>
      </c>
      <c r="I845" s="1" t="s">
        <v>133</v>
      </c>
      <c r="J845" s="1" t="s">
        <v>16</v>
      </c>
      <c r="K845" s="1" t="s">
        <v>1885</v>
      </c>
      <c r="L845" s="1" t="s">
        <v>28</v>
      </c>
      <c r="M845">
        <f t="shared" si="91"/>
        <v>300</v>
      </c>
      <c r="N845" t="str">
        <f t="shared" si="92"/>
        <v>1947-06-03</v>
      </c>
      <c r="O845">
        <f t="shared" si="93"/>
        <v>64</v>
      </c>
      <c r="P845" t="str">
        <f t="shared" si="94"/>
        <v>kobieta</v>
      </c>
      <c r="Q845">
        <f t="shared" si="95"/>
        <v>99</v>
      </c>
      <c r="R845">
        <f t="shared" si="96"/>
        <v>48</v>
      </c>
      <c r="S845">
        <f t="shared" ca="1" si="97"/>
        <v>5199</v>
      </c>
    </row>
    <row r="846" spans="1:19">
      <c r="A846" s="1" t="s">
        <v>19</v>
      </c>
      <c r="B846" s="2">
        <v>830</v>
      </c>
      <c r="C846" s="1">
        <v>830</v>
      </c>
      <c r="D846" s="1" t="s">
        <v>596</v>
      </c>
      <c r="E846" s="1">
        <v>13</v>
      </c>
      <c r="F846" s="3">
        <v>1400</v>
      </c>
      <c r="G846" s="1">
        <v>2</v>
      </c>
      <c r="H846" s="1" t="s">
        <v>1888</v>
      </c>
      <c r="I846" s="1" t="s">
        <v>136</v>
      </c>
      <c r="J846" s="1" t="s">
        <v>16</v>
      </c>
      <c r="K846" s="1" t="s">
        <v>1885</v>
      </c>
      <c r="L846" s="1" t="s">
        <v>1778</v>
      </c>
      <c r="M846">
        <f t="shared" si="91"/>
        <v>830</v>
      </c>
      <c r="N846" t="str">
        <f t="shared" si="92"/>
        <v>1952-03-12</v>
      </c>
      <c r="O846">
        <f t="shared" si="93"/>
        <v>59</v>
      </c>
      <c r="P846" t="str">
        <f t="shared" si="94"/>
        <v>kobieta</v>
      </c>
      <c r="Q846">
        <f t="shared" si="95"/>
        <v>248</v>
      </c>
      <c r="R846">
        <f t="shared" si="96"/>
        <v>48</v>
      </c>
      <c r="S846">
        <f t="shared" ca="1" si="97"/>
        <v>0</v>
      </c>
    </row>
    <row r="847" spans="1:19">
      <c r="A847" s="1" t="s">
        <v>19</v>
      </c>
      <c r="B847" s="2">
        <v>500</v>
      </c>
      <c r="C847" s="1">
        <v>500</v>
      </c>
      <c r="D847" s="1" t="s">
        <v>525</v>
      </c>
      <c r="E847" s="1">
        <v>13</v>
      </c>
      <c r="F847" s="3">
        <v>1900</v>
      </c>
      <c r="G847" s="1">
        <v>7</v>
      </c>
      <c r="H847" s="1" t="s">
        <v>1889</v>
      </c>
      <c r="I847" s="1" t="s">
        <v>527</v>
      </c>
      <c r="J847" s="1" t="s">
        <v>16</v>
      </c>
      <c r="K847" s="1" t="s">
        <v>1885</v>
      </c>
      <c r="L847" s="1" t="s">
        <v>1797</v>
      </c>
      <c r="M847">
        <f t="shared" si="91"/>
        <v>500</v>
      </c>
      <c r="N847" t="str">
        <f t="shared" si="92"/>
        <v>1955-09-30</v>
      </c>
      <c r="O847">
        <f t="shared" si="93"/>
        <v>56</v>
      </c>
      <c r="P847" t="str">
        <f t="shared" si="94"/>
        <v>mężczyzna</v>
      </c>
      <c r="Q847">
        <f t="shared" si="95"/>
        <v>152</v>
      </c>
      <c r="R847">
        <f t="shared" si="96"/>
        <v>48</v>
      </c>
      <c r="S847">
        <f t="shared" ca="1" si="97"/>
        <v>0</v>
      </c>
    </row>
    <row r="848" spans="1:19">
      <c r="A848" s="1" t="s">
        <v>19</v>
      </c>
      <c r="B848" s="2">
        <v>200</v>
      </c>
      <c r="C848" s="1">
        <v>200</v>
      </c>
      <c r="D848" s="1" t="s">
        <v>528</v>
      </c>
      <c r="E848" s="1">
        <v>17</v>
      </c>
      <c r="F848" s="3">
        <v>728</v>
      </c>
      <c r="G848" s="1">
        <v>7</v>
      </c>
      <c r="H848" s="1" t="s">
        <v>1890</v>
      </c>
      <c r="I848" s="1" t="s">
        <v>530</v>
      </c>
      <c r="J848" s="1" t="s">
        <v>531</v>
      </c>
      <c r="K848" s="1" t="s">
        <v>1885</v>
      </c>
      <c r="L848" s="1" t="s">
        <v>1698</v>
      </c>
      <c r="M848">
        <f t="shared" si="91"/>
        <v>200</v>
      </c>
      <c r="N848" t="str">
        <f t="shared" si="92"/>
        <v>1984-09-24</v>
      </c>
      <c r="O848">
        <f t="shared" si="93"/>
        <v>27</v>
      </c>
      <c r="P848" t="str">
        <f t="shared" si="94"/>
        <v>mężczyzna</v>
      </c>
      <c r="Q848">
        <f t="shared" si="95"/>
        <v>102</v>
      </c>
      <c r="R848">
        <f t="shared" si="96"/>
        <v>28</v>
      </c>
      <c r="S848">
        <f t="shared" ca="1" si="97"/>
        <v>1</v>
      </c>
    </row>
    <row r="849" spans="1:19">
      <c r="A849" s="1" t="s">
        <v>19</v>
      </c>
      <c r="B849" s="2">
        <v>330.1</v>
      </c>
      <c r="C849" s="1">
        <v>330.1</v>
      </c>
      <c r="D849" s="1" t="s">
        <v>601</v>
      </c>
      <c r="E849" s="1">
        <v>13</v>
      </c>
      <c r="F849" s="3">
        <v>1668</v>
      </c>
      <c r="G849" s="1">
        <v>7</v>
      </c>
      <c r="H849" s="1" t="s">
        <v>1891</v>
      </c>
      <c r="I849" s="1" t="s">
        <v>242</v>
      </c>
      <c r="J849" s="1" t="s">
        <v>16</v>
      </c>
      <c r="K849" s="1" t="s">
        <v>1885</v>
      </c>
      <c r="L849" s="1" t="s">
        <v>1698</v>
      </c>
      <c r="M849">
        <f t="shared" si="91"/>
        <v>330.1</v>
      </c>
      <c r="N849" t="str">
        <f t="shared" si="92"/>
        <v>1948-07-31</v>
      </c>
      <c r="O849">
        <f t="shared" si="93"/>
        <v>63</v>
      </c>
      <c r="P849" t="str">
        <f t="shared" si="94"/>
        <v>kobieta</v>
      </c>
      <c r="Q849">
        <f t="shared" si="95"/>
        <v>93</v>
      </c>
      <c r="R849">
        <f t="shared" si="96"/>
        <v>48</v>
      </c>
      <c r="S849">
        <f t="shared" ca="1" si="97"/>
        <v>1</v>
      </c>
    </row>
    <row r="850" spans="1:19">
      <c r="A850" s="1" t="s">
        <v>19</v>
      </c>
      <c r="B850" s="2">
        <v>389.72</v>
      </c>
      <c r="C850" s="1">
        <v>389.72</v>
      </c>
      <c r="D850" s="1" t="s">
        <v>652</v>
      </c>
      <c r="E850" s="1">
        <v>11</v>
      </c>
      <c r="F850" s="3">
        <v>1058</v>
      </c>
      <c r="G850" s="1">
        <v>2</v>
      </c>
      <c r="H850" s="1" t="s">
        <v>1892</v>
      </c>
      <c r="I850" s="1" t="s">
        <v>151</v>
      </c>
      <c r="J850" s="1" t="s">
        <v>16</v>
      </c>
      <c r="K850" s="1" t="s">
        <v>1885</v>
      </c>
      <c r="L850" s="1" t="s">
        <v>1778</v>
      </c>
      <c r="M850">
        <f t="shared" si="91"/>
        <v>389.72</v>
      </c>
      <c r="N850" t="str">
        <f t="shared" si="92"/>
        <v>1976-10-05</v>
      </c>
      <c r="O850">
        <f t="shared" si="93"/>
        <v>35</v>
      </c>
      <c r="P850" t="str">
        <f t="shared" si="94"/>
        <v>mężczyzna</v>
      </c>
      <c r="Q850">
        <f t="shared" si="95"/>
        <v>16</v>
      </c>
      <c r="R850">
        <f t="shared" si="96"/>
        <v>48</v>
      </c>
      <c r="S850">
        <f t="shared" ca="1" si="97"/>
        <v>0</v>
      </c>
    </row>
    <row r="851" spans="1:19">
      <c r="A851" s="1" t="s">
        <v>19</v>
      </c>
      <c r="B851" s="2">
        <v>500</v>
      </c>
      <c r="C851" s="1">
        <v>500</v>
      </c>
      <c r="D851" s="1" t="s">
        <v>639</v>
      </c>
      <c r="E851" s="1">
        <v>11</v>
      </c>
      <c r="F851" s="3">
        <v>2100</v>
      </c>
      <c r="G851" s="1">
        <v>6</v>
      </c>
      <c r="H851" s="1" t="s">
        <v>1893</v>
      </c>
      <c r="I851" s="1" t="s">
        <v>641</v>
      </c>
      <c r="J851" s="1" t="s">
        <v>16</v>
      </c>
      <c r="K851" s="1" t="s">
        <v>1885</v>
      </c>
      <c r="L851" s="1" t="s">
        <v>1778</v>
      </c>
      <c r="M851">
        <f t="shared" si="91"/>
        <v>500</v>
      </c>
      <c r="N851" t="str">
        <f t="shared" si="92"/>
        <v>1951-08-31</v>
      </c>
      <c r="O851">
        <f t="shared" si="93"/>
        <v>60</v>
      </c>
      <c r="P851" t="str">
        <f t="shared" si="94"/>
        <v>mężczyzna</v>
      </c>
      <c r="Q851">
        <f t="shared" si="95"/>
        <v>189</v>
      </c>
      <c r="R851">
        <f t="shared" si="96"/>
        <v>48</v>
      </c>
      <c r="S851">
        <f t="shared" ca="1" si="97"/>
        <v>0</v>
      </c>
    </row>
    <row r="852" spans="1:19">
      <c r="A852" s="1" t="s">
        <v>19</v>
      </c>
      <c r="B852" s="2">
        <v>500</v>
      </c>
      <c r="C852" s="1">
        <v>500</v>
      </c>
      <c r="D852" s="1" t="s">
        <v>1894</v>
      </c>
      <c r="E852" s="1">
        <v>13</v>
      </c>
      <c r="F852" s="3">
        <v>1553</v>
      </c>
      <c r="G852" s="1">
        <v>0</v>
      </c>
      <c r="H852" s="1" t="s">
        <v>1895</v>
      </c>
      <c r="I852" s="1" t="s">
        <v>1896</v>
      </c>
      <c r="J852" s="1" t="s">
        <v>16</v>
      </c>
      <c r="K852" s="1" t="s">
        <v>1885</v>
      </c>
      <c r="L852" s="1" t="s">
        <v>1698</v>
      </c>
      <c r="M852">
        <f t="shared" si="91"/>
        <v>500</v>
      </c>
      <c r="N852" t="str">
        <f t="shared" si="92"/>
        <v>1955-03-15</v>
      </c>
      <c r="O852">
        <f t="shared" si="93"/>
        <v>56</v>
      </c>
      <c r="P852" t="str">
        <f t="shared" si="94"/>
        <v>mężczyzna</v>
      </c>
      <c r="Q852">
        <f t="shared" si="95"/>
        <v>111</v>
      </c>
      <c r="R852">
        <f t="shared" si="96"/>
        <v>48</v>
      </c>
      <c r="S852">
        <f t="shared" ca="1" si="97"/>
        <v>1</v>
      </c>
    </row>
    <row r="853" spans="1:19">
      <c r="A853" s="1" t="s">
        <v>12</v>
      </c>
      <c r="B853" s="2">
        <v>200</v>
      </c>
      <c r="C853" s="1">
        <v>200</v>
      </c>
      <c r="D853" s="1" t="s">
        <v>228</v>
      </c>
      <c r="E853" s="1">
        <v>13</v>
      </c>
      <c r="F853" s="3">
        <v>12220</v>
      </c>
      <c r="G853" s="1">
        <v>5</v>
      </c>
      <c r="H853" s="1" t="s">
        <v>1897</v>
      </c>
      <c r="I853" s="1" t="s">
        <v>230</v>
      </c>
      <c r="J853" s="1" t="s">
        <v>16</v>
      </c>
      <c r="K853" s="1" t="s">
        <v>1885</v>
      </c>
      <c r="L853" s="1" t="s">
        <v>1457</v>
      </c>
      <c r="M853">
        <f t="shared" si="91"/>
        <v>200</v>
      </c>
      <c r="N853" t="str">
        <f t="shared" si="92"/>
        <v>1954-02-20</v>
      </c>
      <c r="O853">
        <f t="shared" si="93"/>
        <v>57</v>
      </c>
      <c r="P853" t="str">
        <f t="shared" si="94"/>
        <v>mężczyzna</v>
      </c>
      <c r="Q853">
        <f t="shared" si="95"/>
        <v>73</v>
      </c>
      <c r="R853">
        <f t="shared" si="96"/>
        <v>48</v>
      </c>
      <c r="S853">
        <f t="shared" ca="1" si="97"/>
        <v>0</v>
      </c>
    </row>
    <row r="854" spans="1:19">
      <c r="A854" s="1" t="s">
        <v>19</v>
      </c>
      <c r="B854" s="2">
        <v>500</v>
      </c>
      <c r="C854" s="1">
        <v>500</v>
      </c>
      <c r="D854" s="1" t="s">
        <v>1360</v>
      </c>
      <c r="E854" s="1">
        <v>11</v>
      </c>
      <c r="F854" s="3">
        <v>2500</v>
      </c>
      <c r="G854" s="1">
        <v>1</v>
      </c>
      <c r="H854" s="1" t="s">
        <v>1898</v>
      </c>
      <c r="I854" s="1" t="s">
        <v>1362</v>
      </c>
      <c r="J854" s="1" t="s">
        <v>16</v>
      </c>
      <c r="K854" s="1" t="s">
        <v>1885</v>
      </c>
      <c r="L854" s="1" t="s">
        <v>1797</v>
      </c>
      <c r="M854">
        <f t="shared" si="91"/>
        <v>500</v>
      </c>
      <c r="N854" t="str">
        <f t="shared" si="92"/>
        <v>1962-12-21</v>
      </c>
      <c r="O854">
        <f t="shared" si="93"/>
        <v>49</v>
      </c>
      <c r="P854" t="str">
        <f t="shared" si="94"/>
        <v>mężczyzna</v>
      </c>
      <c r="Q854">
        <f t="shared" si="95"/>
        <v>376</v>
      </c>
      <c r="R854">
        <f t="shared" si="96"/>
        <v>48</v>
      </c>
      <c r="S854">
        <f t="shared" ca="1" si="97"/>
        <v>0</v>
      </c>
    </row>
    <row r="855" spans="1:19">
      <c r="A855" s="1" t="s">
        <v>19</v>
      </c>
      <c r="B855" s="2">
        <v>200</v>
      </c>
      <c r="C855" s="1">
        <v>200</v>
      </c>
      <c r="D855" s="1" t="s">
        <v>555</v>
      </c>
      <c r="E855" s="1">
        <v>99</v>
      </c>
      <c r="F855" s="3">
        <v>1100</v>
      </c>
      <c r="G855" s="1">
        <v>4</v>
      </c>
      <c r="H855" s="1" t="s">
        <v>1899</v>
      </c>
      <c r="I855" s="1" t="s">
        <v>557</v>
      </c>
      <c r="J855" s="1" t="s">
        <v>90</v>
      </c>
      <c r="K855" s="1" t="s">
        <v>1885</v>
      </c>
      <c r="L855" s="1" t="s">
        <v>1528</v>
      </c>
      <c r="M855">
        <f t="shared" si="91"/>
        <v>200</v>
      </c>
      <c r="N855" t="str">
        <f t="shared" si="92"/>
        <v>1958-10-15</v>
      </c>
      <c r="O855">
        <f t="shared" si="93"/>
        <v>53</v>
      </c>
      <c r="P855" t="str">
        <f t="shared" si="94"/>
        <v>kobieta</v>
      </c>
      <c r="Q855">
        <f t="shared" si="95"/>
        <v>54</v>
      </c>
      <c r="R855">
        <f t="shared" si="96"/>
        <v>1</v>
      </c>
      <c r="S855">
        <f t="shared" ca="1" si="97"/>
        <v>0</v>
      </c>
    </row>
    <row r="856" spans="1:19">
      <c r="A856" s="1" t="s">
        <v>19</v>
      </c>
      <c r="B856" s="2">
        <v>500</v>
      </c>
      <c r="C856" s="1">
        <v>500</v>
      </c>
      <c r="D856" s="1" t="s">
        <v>545</v>
      </c>
      <c r="E856" s="1">
        <v>11</v>
      </c>
      <c r="F856" s="3">
        <v>1800</v>
      </c>
      <c r="G856" s="1">
        <v>7</v>
      </c>
      <c r="H856" s="1" t="s">
        <v>1900</v>
      </c>
      <c r="I856" s="1" t="s">
        <v>547</v>
      </c>
      <c r="J856" s="1" t="s">
        <v>16</v>
      </c>
      <c r="K856" s="1" t="s">
        <v>1885</v>
      </c>
      <c r="L856" s="1" t="s">
        <v>1732</v>
      </c>
      <c r="M856">
        <f t="shared" si="91"/>
        <v>500</v>
      </c>
      <c r="N856" t="str">
        <f t="shared" si="92"/>
        <v>1962-10-31</v>
      </c>
      <c r="O856">
        <f t="shared" si="93"/>
        <v>49</v>
      </c>
      <c r="P856" t="str">
        <f t="shared" si="94"/>
        <v>kobieta</v>
      </c>
      <c r="Q856">
        <f t="shared" si="95"/>
        <v>55</v>
      </c>
      <c r="R856">
        <f t="shared" si="96"/>
        <v>48</v>
      </c>
      <c r="S856">
        <f t="shared" ca="1" si="97"/>
        <v>2</v>
      </c>
    </row>
    <row r="857" spans="1:19">
      <c r="A857" s="1" t="s">
        <v>12</v>
      </c>
      <c r="B857" s="2">
        <v>500</v>
      </c>
      <c r="C857" s="1">
        <v>400</v>
      </c>
      <c r="D857" s="1" t="s">
        <v>1901</v>
      </c>
      <c r="E857" s="1">
        <v>98</v>
      </c>
      <c r="F857" s="3">
        <v>1200</v>
      </c>
      <c r="G857" s="1">
        <v>0</v>
      </c>
      <c r="H857" s="1" t="s">
        <v>1902</v>
      </c>
      <c r="I857" s="1" t="s">
        <v>1819</v>
      </c>
      <c r="J857" s="1" t="s">
        <v>16</v>
      </c>
      <c r="K857" s="1" t="s">
        <v>1885</v>
      </c>
      <c r="L857" s="1" t="s">
        <v>1864</v>
      </c>
      <c r="M857">
        <f t="shared" si="91"/>
        <v>400</v>
      </c>
      <c r="N857" t="str">
        <f t="shared" si="92"/>
        <v>1988-11-06</v>
      </c>
      <c r="O857">
        <f t="shared" si="93"/>
        <v>23</v>
      </c>
      <c r="P857" t="str">
        <f t="shared" si="94"/>
        <v>mężczyzna</v>
      </c>
      <c r="Q857">
        <f t="shared" si="95"/>
        <v>18</v>
      </c>
      <c r="R857">
        <f t="shared" si="96"/>
        <v>48</v>
      </c>
      <c r="S857">
        <f t="shared" ca="1" si="97"/>
        <v>11</v>
      </c>
    </row>
    <row r="858" spans="1:19">
      <c r="A858" s="1" t="s">
        <v>19</v>
      </c>
      <c r="B858" s="2">
        <v>515.96</v>
      </c>
      <c r="C858" s="1">
        <v>515.96</v>
      </c>
      <c r="D858" s="1" t="s">
        <v>323</v>
      </c>
      <c r="E858" s="1">
        <v>13</v>
      </c>
      <c r="F858" s="3">
        <v>1801.41</v>
      </c>
      <c r="G858" s="1">
        <v>2</v>
      </c>
      <c r="H858" s="1" t="s">
        <v>1903</v>
      </c>
      <c r="I858" s="1" t="s">
        <v>325</v>
      </c>
      <c r="J858" s="1" t="s">
        <v>16</v>
      </c>
      <c r="K858" s="1" t="s">
        <v>1885</v>
      </c>
      <c r="L858" s="1" t="s">
        <v>1778</v>
      </c>
      <c r="M858">
        <f t="shared" si="91"/>
        <v>515.96</v>
      </c>
      <c r="N858" t="str">
        <f t="shared" si="92"/>
        <v>1953-02-06</v>
      </c>
      <c r="O858">
        <f t="shared" si="93"/>
        <v>58</v>
      </c>
      <c r="P858" t="str">
        <f t="shared" si="94"/>
        <v>kobieta</v>
      </c>
      <c r="Q858">
        <f t="shared" si="95"/>
        <v>40</v>
      </c>
      <c r="R858">
        <f t="shared" si="96"/>
        <v>48</v>
      </c>
      <c r="S858">
        <f t="shared" ca="1" si="97"/>
        <v>0</v>
      </c>
    </row>
    <row r="859" spans="1:19">
      <c r="A859" s="1" t="s">
        <v>19</v>
      </c>
      <c r="B859" s="2">
        <v>200</v>
      </c>
      <c r="C859" s="1">
        <v>200</v>
      </c>
      <c r="D859" s="1" t="s">
        <v>612</v>
      </c>
      <c r="E859" s="1">
        <v>13</v>
      </c>
      <c r="F859" s="3">
        <v>865</v>
      </c>
      <c r="G859" s="1">
        <v>7</v>
      </c>
      <c r="H859" s="1" t="s">
        <v>1904</v>
      </c>
      <c r="I859" s="1" t="s">
        <v>614</v>
      </c>
      <c r="J859" s="1" t="s">
        <v>16</v>
      </c>
      <c r="K859" s="1" t="s">
        <v>1885</v>
      </c>
      <c r="L859" s="1" t="s">
        <v>1528</v>
      </c>
      <c r="M859">
        <f t="shared" si="91"/>
        <v>200</v>
      </c>
      <c r="N859" t="str">
        <f t="shared" si="92"/>
        <v>1941-03-18</v>
      </c>
      <c r="O859">
        <f t="shared" si="93"/>
        <v>70</v>
      </c>
      <c r="P859" t="str">
        <f t="shared" si="94"/>
        <v>kobieta</v>
      </c>
      <c r="Q859">
        <f t="shared" si="95"/>
        <v>130</v>
      </c>
      <c r="R859">
        <f t="shared" si="96"/>
        <v>48</v>
      </c>
      <c r="S859">
        <f t="shared" ca="1" si="97"/>
        <v>0</v>
      </c>
    </row>
    <row r="860" spans="1:19">
      <c r="A860" s="1" t="s">
        <v>19</v>
      </c>
      <c r="B860" s="2">
        <v>700</v>
      </c>
      <c r="C860" s="1">
        <v>700</v>
      </c>
      <c r="D860" s="1" t="s">
        <v>512</v>
      </c>
      <c r="E860" s="1">
        <v>11</v>
      </c>
      <c r="F860" s="3">
        <v>3100</v>
      </c>
      <c r="G860" s="1">
        <v>2</v>
      </c>
      <c r="H860" s="1" t="s">
        <v>1905</v>
      </c>
      <c r="I860" s="1" t="s">
        <v>319</v>
      </c>
      <c r="J860" s="1" t="s">
        <v>16</v>
      </c>
      <c r="K860" s="1" t="s">
        <v>1885</v>
      </c>
      <c r="L860" s="1" t="s">
        <v>1785</v>
      </c>
      <c r="M860">
        <f t="shared" si="91"/>
        <v>700</v>
      </c>
      <c r="N860" t="str">
        <f t="shared" si="92"/>
        <v>1979-05-21</v>
      </c>
      <c r="O860">
        <f t="shared" si="93"/>
        <v>32</v>
      </c>
      <c r="P860" t="str">
        <f t="shared" si="94"/>
        <v>kobieta</v>
      </c>
      <c r="Q860">
        <f t="shared" si="95"/>
        <v>123</v>
      </c>
      <c r="R860">
        <f t="shared" si="96"/>
        <v>48</v>
      </c>
      <c r="S860">
        <f t="shared" ca="1" si="97"/>
        <v>5</v>
      </c>
    </row>
    <row r="861" spans="1:19">
      <c r="A861" s="1" t="s">
        <v>19</v>
      </c>
      <c r="B861" s="2">
        <v>700</v>
      </c>
      <c r="C861" s="1">
        <v>700</v>
      </c>
      <c r="D861" s="1" t="s">
        <v>510</v>
      </c>
      <c r="E861" s="1">
        <v>11</v>
      </c>
      <c r="F861" s="3">
        <v>3178.76</v>
      </c>
      <c r="G861" s="1">
        <v>2</v>
      </c>
      <c r="H861" s="1" t="s">
        <v>1906</v>
      </c>
      <c r="I861" s="1" t="s">
        <v>319</v>
      </c>
      <c r="J861" s="1" t="s">
        <v>16</v>
      </c>
      <c r="K861" s="1" t="s">
        <v>1885</v>
      </c>
      <c r="L861" s="1" t="s">
        <v>1785</v>
      </c>
      <c r="M861">
        <f t="shared" si="91"/>
        <v>700</v>
      </c>
      <c r="N861" t="str">
        <f t="shared" si="92"/>
        <v>1974-08-05</v>
      </c>
      <c r="O861">
        <f t="shared" si="93"/>
        <v>37</v>
      </c>
      <c r="P861" t="str">
        <f t="shared" si="94"/>
        <v>kobieta</v>
      </c>
      <c r="Q861">
        <f t="shared" si="95"/>
        <v>123</v>
      </c>
      <c r="R861">
        <f t="shared" si="96"/>
        <v>48</v>
      </c>
      <c r="S861">
        <f t="shared" ca="1" si="97"/>
        <v>5</v>
      </c>
    </row>
    <row r="862" spans="1:19">
      <c r="A862" s="1" t="s">
        <v>19</v>
      </c>
      <c r="B862" s="2">
        <v>500</v>
      </c>
      <c r="C862" s="1">
        <v>400</v>
      </c>
      <c r="D862" s="1" t="s">
        <v>1907</v>
      </c>
      <c r="E862" s="1">
        <v>13</v>
      </c>
      <c r="F862" s="3">
        <v>1400</v>
      </c>
      <c r="G862" s="1">
        <v>0</v>
      </c>
      <c r="H862" s="1" t="s">
        <v>1908</v>
      </c>
      <c r="I862" s="1" t="s">
        <v>1844</v>
      </c>
      <c r="J862" s="1" t="s">
        <v>16</v>
      </c>
      <c r="K862" s="1" t="s">
        <v>1909</v>
      </c>
      <c r="L862" s="1" t="s">
        <v>1785</v>
      </c>
      <c r="M862">
        <f t="shared" si="91"/>
        <v>400</v>
      </c>
      <c r="N862" t="str">
        <f t="shared" si="92"/>
        <v>1952-09-14</v>
      </c>
      <c r="O862">
        <f t="shared" si="93"/>
        <v>59</v>
      </c>
      <c r="P862" t="str">
        <f t="shared" si="94"/>
        <v>kobieta</v>
      </c>
      <c r="Q862">
        <f t="shared" si="95"/>
        <v>48</v>
      </c>
      <c r="R862">
        <f t="shared" si="96"/>
        <v>48</v>
      </c>
      <c r="S862">
        <f t="shared" ca="1" si="97"/>
        <v>4</v>
      </c>
    </row>
    <row r="863" spans="1:19">
      <c r="A863" s="1" t="s">
        <v>12</v>
      </c>
      <c r="B863" s="2">
        <v>300</v>
      </c>
      <c r="C863" s="1">
        <v>300</v>
      </c>
      <c r="D863" s="1" t="s">
        <v>1910</v>
      </c>
      <c r="E863" s="1">
        <v>12</v>
      </c>
      <c r="F863" s="3">
        <v>3400</v>
      </c>
      <c r="G863" s="1">
        <v>0</v>
      </c>
      <c r="H863" s="1" t="s">
        <v>1911</v>
      </c>
      <c r="I863" s="1" t="s">
        <v>1912</v>
      </c>
      <c r="J863" s="1" t="s">
        <v>1913</v>
      </c>
      <c r="K863" s="1" t="s">
        <v>1909</v>
      </c>
      <c r="L863" s="1" t="s">
        <v>1580</v>
      </c>
      <c r="M863">
        <f t="shared" si="91"/>
        <v>300</v>
      </c>
      <c r="N863" t="str">
        <f t="shared" si="92"/>
        <v>1981-10-05</v>
      </c>
      <c r="O863">
        <f t="shared" si="93"/>
        <v>30</v>
      </c>
      <c r="P863" t="str">
        <f t="shared" si="94"/>
        <v>mężczyzna</v>
      </c>
      <c r="Q863">
        <f t="shared" si="95"/>
        <v>19</v>
      </c>
      <c r="R863">
        <f t="shared" si="96"/>
        <v>19</v>
      </c>
      <c r="S863">
        <f t="shared" ca="1" si="97"/>
        <v>0</v>
      </c>
    </row>
    <row r="864" spans="1:19">
      <c r="A864" s="1" t="s">
        <v>19</v>
      </c>
      <c r="B864" s="2">
        <v>378.91</v>
      </c>
      <c r="C864" s="1">
        <v>378.91</v>
      </c>
      <c r="D864" s="1" t="s">
        <v>247</v>
      </c>
      <c r="E864" s="1">
        <v>13</v>
      </c>
      <c r="F864" s="3">
        <v>1291.18</v>
      </c>
      <c r="G864" s="1">
        <v>7</v>
      </c>
      <c r="H864" s="1" t="s">
        <v>1914</v>
      </c>
      <c r="I864" s="1" t="s">
        <v>66</v>
      </c>
      <c r="J864" s="1" t="s">
        <v>16</v>
      </c>
      <c r="K864" s="1" t="s">
        <v>1909</v>
      </c>
      <c r="L864" s="1" t="s">
        <v>1528</v>
      </c>
      <c r="M864">
        <f t="shared" si="91"/>
        <v>378.91</v>
      </c>
      <c r="N864" t="str">
        <f t="shared" si="92"/>
        <v>1941-03-08</v>
      </c>
      <c r="O864">
        <f t="shared" si="93"/>
        <v>70</v>
      </c>
      <c r="P864" t="str">
        <f t="shared" si="94"/>
        <v>kobieta</v>
      </c>
      <c r="Q864">
        <f t="shared" si="95"/>
        <v>81</v>
      </c>
      <c r="R864">
        <f t="shared" si="96"/>
        <v>48</v>
      </c>
      <c r="S864">
        <f t="shared" ca="1" si="97"/>
        <v>0</v>
      </c>
    </row>
    <row r="865" spans="1:19">
      <c r="A865" s="1" t="s">
        <v>19</v>
      </c>
      <c r="B865" s="2">
        <v>500</v>
      </c>
      <c r="C865" s="1">
        <v>300</v>
      </c>
      <c r="D865" s="1" t="s">
        <v>1915</v>
      </c>
      <c r="E865" s="1">
        <v>13</v>
      </c>
      <c r="F865" s="3">
        <v>2000</v>
      </c>
      <c r="G865" s="1">
        <v>0</v>
      </c>
      <c r="H865" s="1" t="s">
        <v>1916</v>
      </c>
      <c r="I865" s="1" t="s">
        <v>1747</v>
      </c>
      <c r="J865" s="1" t="s">
        <v>16</v>
      </c>
      <c r="K865" s="1" t="s">
        <v>1909</v>
      </c>
      <c r="L865" s="1" t="s">
        <v>1797</v>
      </c>
      <c r="M865">
        <f t="shared" si="91"/>
        <v>300</v>
      </c>
      <c r="N865" t="str">
        <f t="shared" si="92"/>
        <v>1949-10-29</v>
      </c>
      <c r="O865">
        <f t="shared" si="93"/>
        <v>62</v>
      </c>
      <c r="P865" t="str">
        <f t="shared" si="94"/>
        <v>mężczyzna</v>
      </c>
      <c r="Q865">
        <f t="shared" si="95"/>
        <v>36</v>
      </c>
      <c r="R865">
        <f t="shared" si="96"/>
        <v>48</v>
      </c>
      <c r="S865">
        <f t="shared" ca="1" si="97"/>
        <v>0</v>
      </c>
    </row>
    <row r="866" spans="1:19">
      <c r="A866" s="1" t="s">
        <v>19</v>
      </c>
      <c r="B866" s="2">
        <v>500</v>
      </c>
      <c r="C866" s="1">
        <v>500</v>
      </c>
      <c r="D866" s="1" t="s">
        <v>372</v>
      </c>
      <c r="E866" s="1">
        <v>11</v>
      </c>
      <c r="F866" s="3">
        <v>3898</v>
      </c>
      <c r="G866" s="1">
        <v>2</v>
      </c>
      <c r="H866" s="1" t="s">
        <v>1917</v>
      </c>
      <c r="I866" s="1" t="s">
        <v>374</v>
      </c>
      <c r="J866" s="1" t="s">
        <v>16</v>
      </c>
      <c r="K866" s="1" t="s">
        <v>1909</v>
      </c>
      <c r="L866" s="1" t="s">
        <v>1750</v>
      </c>
      <c r="M866">
        <f t="shared" si="91"/>
        <v>500</v>
      </c>
      <c r="N866" t="str">
        <f t="shared" si="92"/>
        <v>1975-03-16</v>
      </c>
      <c r="O866">
        <f t="shared" si="93"/>
        <v>36</v>
      </c>
      <c r="P866" t="str">
        <f t="shared" si="94"/>
        <v>mężczyzna</v>
      </c>
      <c r="Q866">
        <f t="shared" si="95"/>
        <v>183</v>
      </c>
      <c r="R866">
        <f t="shared" si="96"/>
        <v>48</v>
      </c>
      <c r="S866">
        <f t="shared" ca="1" si="97"/>
        <v>3</v>
      </c>
    </row>
    <row r="867" spans="1:19">
      <c r="A867" s="1" t="s">
        <v>19</v>
      </c>
      <c r="B867" s="2">
        <v>600</v>
      </c>
      <c r="C867" s="1">
        <v>600</v>
      </c>
      <c r="D867" s="1" t="s">
        <v>1444</v>
      </c>
      <c r="E867" s="1">
        <v>13</v>
      </c>
      <c r="F867" s="3">
        <v>2547</v>
      </c>
      <c r="G867" s="1">
        <v>1</v>
      </c>
      <c r="H867" s="1" t="s">
        <v>1918</v>
      </c>
      <c r="I867" s="1" t="s">
        <v>1446</v>
      </c>
      <c r="J867" s="1" t="s">
        <v>16</v>
      </c>
      <c r="K867" s="1" t="s">
        <v>1909</v>
      </c>
      <c r="L867" s="1" t="s">
        <v>1778</v>
      </c>
      <c r="M867">
        <f t="shared" si="91"/>
        <v>600</v>
      </c>
      <c r="N867" t="str">
        <f t="shared" si="92"/>
        <v>1931-01-25</v>
      </c>
      <c r="O867">
        <f t="shared" si="93"/>
        <v>80</v>
      </c>
      <c r="P867" t="str">
        <f t="shared" si="94"/>
        <v>mężczyzna</v>
      </c>
      <c r="Q867">
        <f t="shared" si="95"/>
        <v>197</v>
      </c>
      <c r="R867">
        <f t="shared" si="96"/>
        <v>48</v>
      </c>
      <c r="S867">
        <f t="shared" ca="1" si="97"/>
        <v>0</v>
      </c>
    </row>
    <row r="868" spans="1:19">
      <c r="A868" s="1" t="s">
        <v>24</v>
      </c>
      <c r="B868" s="2">
        <v>300</v>
      </c>
      <c r="C868" s="1">
        <v>0</v>
      </c>
      <c r="D868" s="1" t="s">
        <v>1919</v>
      </c>
      <c r="E868" s="1">
        <v>99</v>
      </c>
      <c r="F868" s="3">
        <v>784</v>
      </c>
      <c r="G868" s="1">
        <v>0</v>
      </c>
      <c r="H868" s="1" t="s">
        <v>1920</v>
      </c>
      <c r="I868" s="1" t="s">
        <v>1921</v>
      </c>
      <c r="J868" s="1" t="s">
        <v>1922</v>
      </c>
      <c r="K868" s="1" t="s">
        <v>16</v>
      </c>
      <c r="L868" s="1" t="s">
        <v>28</v>
      </c>
      <c r="M868">
        <f t="shared" si="91"/>
        <v>300</v>
      </c>
      <c r="N868" t="str">
        <f t="shared" si="92"/>
        <v>1961-08-02</v>
      </c>
      <c r="O868">
        <f t="shared" si="93"/>
        <v>50</v>
      </c>
      <c r="P868" t="str">
        <f t="shared" si="94"/>
        <v>mężczyzna</v>
      </c>
      <c r="Q868">
        <f t="shared" si="95"/>
        <v>2</v>
      </c>
      <c r="R868">
        <f t="shared" si="96"/>
        <v>10</v>
      </c>
      <c r="S868">
        <f t="shared" ca="1" si="97"/>
        <v>0</v>
      </c>
    </row>
    <row r="869" spans="1:19">
      <c r="A869" s="1" t="s">
        <v>19</v>
      </c>
      <c r="B869" s="2">
        <v>300</v>
      </c>
      <c r="C869" s="1">
        <v>300</v>
      </c>
      <c r="D869" s="1" t="s">
        <v>586</v>
      </c>
      <c r="E869" s="1">
        <v>12</v>
      </c>
      <c r="F869" s="3">
        <v>1500</v>
      </c>
      <c r="G869" s="1">
        <v>6</v>
      </c>
      <c r="H869" s="1" t="s">
        <v>1923</v>
      </c>
      <c r="I869" s="1" t="s">
        <v>161</v>
      </c>
      <c r="J869" s="1" t="s">
        <v>1924</v>
      </c>
      <c r="K869" s="1" t="s">
        <v>1909</v>
      </c>
      <c r="L869" s="1" t="s">
        <v>1750</v>
      </c>
      <c r="M869">
        <f t="shared" si="91"/>
        <v>300</v>
      </c>
      <c r="N869" t="str">
        <f t="shared" si="92"/>
        <v>1989-06-09</v>
      </c>
      <c r="O869">
        <f t="shared" si="93"/>
        <v>22</v>
      </c>
      <c r="P869" t="str">
        <f t="shared" si="94"/>
        <v>kobieta</v>
      </c>
      <c r="Q869">
        <f t="shared" si="95"/>
        <v>6</v>
      </c>
      <c r="R869">
        <f t="shared" si="96"/>
        <v>12</v>
      </c>
      <c r="S869">
        <f t="shared" ca="1" si="97"/>
        <v>3</v>
      </c>
    </row>
    <row r="870" spans="1:19">
      <c r="A870" s="1" t="s">
        <v>19</v>
      </c>
      <c r="B870" s="2">
        <v>299.23</v>
      </c>
      <c r="C870" s="1">
        <v>299.23</v>
      </c>
      <c r="D870" s="1" t="s">
        <v>713</v>
      </c>
      <c r="E870" s="1">
        <v>11</v>
      </c>
      <c r="F870" s="3">
        <v>1400</v>
      </c>
      <c r="G870" s="1">
        <v>3</v>
      </c>
      <c r="H870" s="1" t="s">
        <v>1925</v>
      </c>
      <c r="I870" s="1" t="s">
        <v>234</v>
      </c>
      <c r="J870" s="1" t="s">
        <v>16</v>
      </c>
      <c r="K870" s="1" t="s">
        <v>1909</v>
      </c>
      <c r="L870" s="1" t="s">
        <v>1698</v>
      </c>
      <c r="M870">
        <f t="shared" si="91"/>
        <v>299.23</v>
      </c>
      <c r="N870" t="str">
        <f t="shared" si="92"/>
        <v>1959-07-27</v>
      </c>
      <c r="O870">
        <f t="shared" si="93"/>
        <v>52</v>
      </c>
      <c r="P870" t="str">
        <f t="shared" si="94"/>
        <v>kobieta</v>
      </c>
      <c r="Q870">
        <f t="shared" si="95"/>
        <v>163</v>
      </c>
      <c r="R870">
        <f t="shared" si="96"/>
        <v>48</v>
      </c>
      <c r="S870">
        <f t="shared" ca="1" si="97"/>
        <v>0</v>
      </c>
    </row>
    <row r="871" spans="1:19">
      <c r="A871" s="1" t="s">
        <v>19</v>
      </c>
      <c r="B871" s="2">
        <v>700</v>
      </c>
      <c r="C871" s="1">
        <v>500</v>
      </c>
      <c r="D871" s="1" t="s">
        <v>1926</v>
      </c>
      <c r="E871" s="1">
        <v>12</v>
      </c>
      <c r="F871" s="3">
        <v>1600</v>
      </c>
      <c r="G871" s="1">
        <v>0</v>
      </c>
      <c r="H871" s="1" t="s">
        <v>1927</v>
      </c>
      <c r="I871" s="1" t="s">
        <v>729</v>
      </c>
      <c r="J871" s="1" t="s">
        <v>1405</v>
      </c>
      <c r="K871" s="1" t="s">
        <v>1909</v>
      </c>
      <c r="L871" s="1" t="s">
        <v>1785</v>
      </c>
      <c r="M871">
        <f t="shared" si="91"/>
        <v>500</v>
      </c>
      <c r="N871" t="str">
        <f t="shared" si="92"/>
        <v>1956-05-07</v>
      </c>
      <c r="O871">
        <f t="shared" si="93"/>
        <v>55</v>
      </c>
      <c r="P871" t="str">
        <f t="shared" si="94"/>
        <v>kobieta</v>
      </c>
      <c r="Q871">
        <f t="shared" si="95"/>
        <v>12</v>
      </c>
      <c r="R871">
        <f t="shared" si="96"/>
        <v>5</v>
      </c>
      <c r="S871">
        <f t="shared" ca="1" si="97"/>
        <v>4</v>
      </c>
    </row>
    <row r="872" spans="1:19">
      <c r="A872" s="1" t="s">
        <v>19</v>
      </c>
      <c r="B872" s="2">
        <v>500</v>
      </c>
      <c r="C872" s="1">
        <v>500</v>
      </c>
      <c r="D872" s="1" t="s">
        <v>454</v>
      </c>
      <c r="E872" s="1">
        <v>12</v>
      </c>
      <c r="F872" s="3">
        <v>1447</v>
      </c>
      <c r="G872" s="1">
        <v>7</v>
      </c>
      <c r="H872" s="1" t="s">
        <v>1928</v>
      </c>
      <c r="I872" s="1" t="s">
        <v>456</v>
      </c>
      <c r="J872" s="1" t="s">
        <v>1929</v>
      </c>
      <c r="K872" s="1" t="s">
        <v>1930</v>
      </c>
      <c r="L872" s="1" t="s">
        <v>1785</v>
      </c>
      <c r="M872">
        <f t="shared" si="91"/>
        <v>500</v>
      </c>
      <c r="N872" t="str">
        <f t="shared" si="92"/>
        <v>1982-06-22</v>
      </c>
      <c r="O872">
        <f t="shared" si="93"/>
        <v>29</v>
      </c>
      <c r="P872" t="str">
        <f t="shared" si="94"/>
        <v>kobieta</v>
      </c>
      <c r="Q872">
        <f t="shared" si="95"/>
        <v>24</v>
      </c>
      <c r="R872">
        <f t="shared" si="96"/>
        <v>12</v>
      </c>
      <c r="S872">
        <f t="shared" ca="1" si="97"/>
        <v>3</v>
      </c>
    </row>
    <row r="873" spans="1:19">
      <c r="A873" s="1" t="s">
        <v>19</v>
      </c>
      <c r="B873" s="2">
        <v>349.66</v>
      </c>
      <c r="C873" s="1">
        <v>349.66</v>
      </c>
      <c r="D873" s="1" t="s">
        <v>559</v>
      </c>
      <c r="E873" s="1">
        <v>13</v>
      </c>
      <c r="F873" s="3">
        <v>1601.87</v>
      </c>
      <c r="G873" s="1">
        <v>3</v>
      </c>
      <c r="H873" s="1" t="s">
        <v>1931</v>
      </c>
      <c r="I873" s="1" t="s">
        <v>561</v>
      </c>
      <c r="J873" s="1" t="s">
        <v>16</v>
      </c>
      <c r="K873" s="1" t="s">
        <v>1930</v>
      </c>
      <c r="L873" s="1" t="s">
        <v>1785</v>
      </c>
      <c r="M873">
        <f t="shared" si="91"/>
        <v>349.66</v>
      </c>
      <c r="N873" t="str">
        <f t="shared" si="92"/>
        <v>1947-10-25</v>
      </c>
      <c r="O873">
        <f t="shared" si="93"/>
        <v>64</v>
      </c>
      <c r="P873" t="str">
        <f t="shared" si="94"/>
        <v>mężczyzna</v>
      </c>
      <c r="Q873">
        <f t="shared" si="95"/>
        <v>47</v>
      </c>
      <c r="R873">
        <f t="shared" si="96"/>
        <v>48</v>
      </c>
      <c r="S873">
        <f t="shared" ca="1" si="97"/>
        <v>3</v>
      </c>
    </row>
    <row r="874" spans="1:19">
      <c r="A874" s="1" t="s">
        <v>19</v>
      </c>
      <c r="B874" s="2">
        <v>300</v>
      </c>
      <c r="C874" s="1">
        <v>300</v>
      </c>
      <c r="D874" s="1" t="s">
        <v>1062</v>
      </c>
      <c r="E874" s="1">
        <v>16</v>
      </c>
      <c r="F874" s="3">
        <v>1740</v>
      </c>
      <c r="G874" s="1">
        <v>0</v>
      </c>
      <c r="H874" s="1" t="s">
        <v>1932</v>
      </c>
      <c r="I874" s="1" t="s">
        <v>1064</v>
      </c>
      <c r="J874" s="1" t="s">
        <v>16</v>
      </c>
      <c r="K874" s="1" t="s">
        <v>1930</v>
      </c>
      <c r="L874" s="1" t="s">
        <v>1728</v>
      </c>
      <c r="M874">
        <f t="shared" si="91"/>
        <v>300</v>
      </c>
      <c r="N874" t="str">
        <f t="shared" si="92"/>
        <v>1958-04-26</v>
      </c>
      <c r="O874">
        <f t="shared" si="93"/>
        <v>53</v>
      </c>
      <c r="P874" t="str">
        <f t="shared" si="94"/>
        <v>kobieta</v>
      </c>
      <c r="Q874">
        <f t="shared" si="95"/>
        <v>116</v>
      </c>
      <c r="R874">
        <f t="shared" si="96"/>
        <v>48</v>
      </c>
      <c r="S874">
        <f t="shared" ca="1" si="97"/>
        <v>0</v>
      </c>
    </row>
    <row r="875" spans="1:19">
      <c r="A875" s="1" t="s">
        <v>19</v>
      </c>
      <c r="B875" s="2">
        <v>206</v>
      </c>
      <c r="C875" s="1">
        <v>206</v>
      </c>
      <c r="D875" s="1" t="s">
        <v>518</v>
      </c>
      <c r="E875" s="1">
        <v>12</v>
      </c>
      <c r="F875" s="3">
        <v>1521</v>
      </c>
      <c r="G875" s="1">
        <v>3</v>
      </c>
      <c r="H875" s="1" t="s">
        <v>1933</v>
      </c>
      <c r="I875" s="1" t="s">
        <v>300</v>
      </c>
      <c r="J875" s="1" t="s">
        <v>520</v>
      </c>
      <c r="K875" s="1" t="s">
        <v>1930</v>
      </c>
      <c r="L875" s="1" t="s">
        <v>1728</v>
      </c>
      <c r="M875">
        <f t="shared" si="91"/>
        <v>206</v>
      </c>
      <c r="N875" t="str">
        <f t="shared" si="92"/>
        <v>1981-12-29</v>
      </c>
      <c r="O875">
        <f t="shared" si="93"/>
        <v>30</v>
      </c>
      <c r="P875" t="str">
        <f t="shared" si="94"/>
        <v>mężczyzna</v>
      </c>
      <c r="Q875">
        <f t="shared" si="95"/>
        <v>22</v>
      </c>
      <c r="R875">
        <f t="shared" si="96"/>
        <v>8</v>
      </c>
      <c r="S875">
        <f t="shared" ca="1" si="97"/>
        <v>0</v>
      </c>
    </row>
    <row r="876" spans="1:19">
      <c r="A876" s="1" t="s">
        <v>12</v>
      </c>
      <c r="B876" s="2">
        <v>300</v>
      </c>
      <c r="C876" s="1">
        <v>300</v>
      </c>
      <c r="D876" s="1" t="s">
        <v>618</v>
      </c>
      <c r="E876" s="1">
        <v>11</v>
      </c>
      <c r="F876" s="3">
        <v>992.84</v>
      </c>
      <c r="G876" s="1">
        <v>7</v>
      </c>
      <c r="H876" s="1" t="s">
        <v>1934</v>
      </c>
      <c r="I876" s="1" t="s">
        <v>620</v>
      </c>
      <c r="J876" s="1" t="s">
        <v>16</v>
      </c>
      <c r="K876" s="1" t="s">
        <v>1930</v>
      </c>
      <c r="L876" s="1" t="s">
        <v>1778</v>
      </c>
      <c r="M876">
        <f t="shared" si="91"/>
        <v>300</v>
      </c>
      <c r="N876" t="str">
        <f t="shared" si="92"/>
        <v>1962-06-21</v>
      </c>
      <c r="O876">
        <f t="shared" si="93"/>
        <v>49</v>
      </c>
      <c r="P876" t="str">
        <f t="shared" si="94"/>
        <v>kobieta</v>
      </c>
      <c r="Q876">
        <f t="shared" si="95"/>
        <v>123</v>
      </c>
      <c r="R876">
        <f t="shared" si="96"/>
        <v>48</v>
      </c>
      <c r="S876">
        <f t="shared" ca="1" si="97"/>
        <v>0</v>
      </c>
    </row>
    <row r="877" spans="1:19">
      <c r="A877" s="1" t="s">
        <v>19</v>
      </c>
      <c r="B877" s="2">
        <v>300</v>
      </c>
      <c r="C877" s="1">
        <v>300</v>
      </c>
      <c r="D877" s="1" t="s">
        <v>684</v>
      </c>
      <c r="E877" s="1">
        <v>13</v>
      </c>
      <c r="F877" s="3">
        <v>1167.94</v>
      </c>
      <c r="G877" s="1">
        <v>2</v>
      </c>
      <c r="H877" s="1" t="s">
        <v>1935</v>
      </c>
      <c r="I877" s="1" t="s">
        <v>686</v>
      </c>
      <c r="J877" s="1" t="s">
        <v>16</v>
      </c>
      <c r="K877" s="1" t="s">
        <v>1930</v>
      </c>
      <c r="L877" s="1" t="s">
        <v>1698</v>
      </c>
      <c r="M877">
        <f t="shared" si="91"/>
        <v>300</v>
      </c>
      <c r="N877" t="str">
        <f t="shared" si="92"/>
        <v>1932-04-05</v>
      </c>
      <c r="O877">
        <f t="shared" si="93"/>
        <v>79</v>
      </c>
      <c r="P877" t="str">
        <f t="shared" si="94"/>
        <v>kobieta</v>
      </c>
      <c r="Q877">
        <f t="shared" si="95"/>
        <v>371</v>
      </c>
      <c r="R877">
        <f t="shared" si="96"/>
        <v>48</v>
      </c>
      <c r="S877">
        <f t="shared" ca="1" si="97"/>
        <v>0</v>
      </c>
    </row>
    <row r="878" spans="1:19">
      <c r="A878" s="1" t="s">
        <v>19</v>
      </c>
      <c r="B878" s="2">
        <v>200</v>
      </c>
      <c r="C878" s="1">
        <v>200</v>
      </c>
      <c r="D878" s="1" t="s">
        <v>782</v>
      </c>
      <c r="E878" s="1">
        <v>11</v>
      </c>
      <c r="F878" s="3">
        <v>1400</v>
      </c>
      <c r="G878" s="1">
        <v>7</v>
      </c>
      <c r="H878" s="1" t="s">
        <v>1936</v>
      </c>
      <c r="I878" s="1" t="s">
        <v>784</v>
      </c>
      <c r="J878" s="1" t="s">
        <v>16</v>
      </c>
      <c r="K878" s="1" t="s">
        <v>1930</v>
      </c>
      <c r="L878" s="1" t="s">
        <v>1750</v>
      </c>
      <c r="M878">
        <f t="shared" si="91"/>
        <v>200</v>
      </c>
      <c r="N878" t="str">
        <f t="shared" si="92"/>
        <v>1957-01-13</v>
      </c>
      <c r="O878">
        <f t="shared" si="93"/>
        <v>54</v>
      </c>
      <c r="P878" t="str">
        <f t="shared" si="94"/>
        <v>kobieta</v>
      </c>
      <c r="Q878">
        <f t="shared" si="95"/>
        <v>119</v>
      </c>
      <c r="R878">
        <f t="shared" si="96"/>
        <v>48</v>
      </c>
      <c r="S878">
        <f t="shared" ca="1" si="97"/>
        <v>2</v>
      </c>
    </row>
    <row r="879" spans="1:19">
      <c r="A879" s="1" t="s">
        <v>12</v>
      </c>
      <c r="B879" s="2">
        <v>300</v>
      </c>
      <c r="C879" s="1">
        <v>300</v>
      </c>
      <c r="D879" s="1" t="s">
        <v>718</v>
      </c>
      <c r="E879" s="1">
        <v>11</v>
      </c>
      <c r="F879" s="3">
        <v>1360</v>
      </c>
      <c r="G879" s="1">
        <v>3</v>
      </c>
      <c r="H879" s="1" t="s">
        <v>1937</v>
      </c>
      <c r="I879" s="1" t="s">
        <v>720</v>
      </c>
      <c r="J879" s="1" t="s">
        <v>16</v>
      </c>
      <c r="K879" s="1" t="s">
        <v>1930</v>
      </c>
      <c r="L879" s="1" t="s">
        <v>1698</v>
      </c>
      <c r="M879">
        <f t="shared" si="91"/>
        <v>300</v>
      </c>
      <c r="N879" t="str">
        <f t="shared" si="92"/>
        <v>1965-03-18</v>
      </c>
      <c r="O879">
        <f t="shared" si="93"/>
        <v>46</v>
      </c>
      <c r="P879" t="str">
        <f t="shared" si="94"/>
        <v>mężczyzna</v>
      </c>
      <c r="Q879">
        <f t="shared" si="95"/>
        <v>122</v>
      </c>
      <c r="R879">
        <f t="shared" si="96"/>
        <v>48</v>
      </c>
      <c r="S879">
        <f t="shared" ca="1" si="97"/>
        <v>0</v>
      </c>
    </row>
    <row r="880" spans="1:19">
      <c r="A880" s="1" t="s">
        <v>24</v>
      </c>
      <c r="B880" s="2">
        <v>300</v>
      </c>
      <c r="C880" s="1">
        <v>0</v>
      </c>
      <c r="D880" s="1" t="s">
        <v>1938</v>
      </c>
      <c r="E880" s="1">
        <v>11</v>
      </c>
      <c r="F880" s="3">
        <v>2100</v>
      </c>
      <c r="G880" s="1">
        <v>0</v>
      </c>
      <c r="H880" s="1" t="s">
        <v>1939</v>
      </c>
      <c r="I880" s="1" t="s">
        <v>1940</v>
      </c>
      <c r="J880" s="1" t="s">
        <v>16</v>
      </c>
      <c r="K880" s="1" t="s">
        <v>16</v>
      </c>
      <c r="L880" s="1" t="s">
        <v>28</v>
      </c>
      <c r="M880">
        <f t="shared" si="91"/>
        <v>300</v>
      </c>
      <c r="N880" t="str">
        <f t="shared" si="92"/>
        <v>1954-11-19</v>
      </c>
      <c r="O880">
        <f t="shared" si="93"/>
        <v>57</v>
      </c>
      <c r="P880" t="str">
        <f t="shared" si="94"/>
        <v>mężczyzna</v>
      </c>
      <c r="Q880">
        <f t="shared" si="95"/>
        <v>32</v>
      </c>
      <c r="R880">
        <f t="shared" si="96"/>
        <v>48</v>
      </c>
      <c r="S880">
        <f t="shared" ca="1" si="97"/>
        <v>0</v>
      </c>
    </row>
    <row r="881" spans="1:19">
      <c r="A881" s="1" t="s">
        <v>19</v>
      </c>
      <c r="B881" s="2">
        <v>700</v>
      </c>
      <c r="C881" s="1">
        <v>700</v>
      </c>
      <c r="D881" s="1" t="s">
        <v>606</v>
      </c>
      <c r="E881" s="1">
        <v>13</v>
      </c>
      <c r="F881" s="3">
        <v>1872</v>
      </c>
      <c r="G881" s="1">
        <v>7</v>
      </c>
      <c r="H881" s="1" t="s">
        <v>1941</v>
      </c>
      <c r="I881" s="1" t="s">
        <v>608</v>
      </c>
      <c r="J881" s="1" t="s">
        <v>16</v>
      </c>
      <c r="K881" s="1" t="s">
        <v>1930</v>
      </c>
      <c r="L881" s="1" t="s">
        <v>1810</v>
      </c>
      <c r="M881">
        <f t="shared" si="91"/>
        <v>700</v>
      </c>
      <c r="N881" t="str">
        <f t="shared" si="92"/>
        <v>1953-06-21</v>
      </c>
      <c r="O881">
        <f t="shared" si="93"/>
        <v>58</v>
      </c>
      <c r="P881" t="str">
        <f t="shared" si="94"/>
        <v>kobieta</v>
      </c>
      <c r="Q881">
        <f t="shared" si="95"/>
        <v>37</v>
      </c>
      <c r="R881">
        <f t="shared" si="96"/>
        <v>48</v>
      </c>
      <c r="S881">
        <f t="shared" ca="1" si="97"/>
        <v>5</v>
      </c>
    </row>
    <row r="882" spans="1:19">
      <c r="A882" s="1" t="s">
        <v>12</v>
      </c>
      <c r="B882" s="2">
        <v>527.15</v>
      </c>
      <c r="C882" s="1">
        <v>527.15</v>
      </c>
      <c r="D882" s="1" t="s">
        <v>1124</v>
      </c>
      <c r="E882" s="1">
        <v>13</v>
      </c>
      <c r="F882" s="3">
        <v>951</v>
      </c>
      <c r="G882" s="1">
        <v>6</v>
      </c>
      <c r="H882" s="1" t="s">
        <v>1942</v>
      </c>
      <c r="I882" s="1" t="s">
        <v>1126</v>
      </c>
      <c r="J882" s="1" t="s">
        <v>16</v>
      </c>
      <c r="K882" s="1" t="s">
        <v>1930</v>
      </c>
      <c r="L882" s="1" t="s">
        <v>1943</v>
      </c>
      <c r="M882">
        <f t="shared" si="91"/>
        <v>527.15</v>
      </c>
      <c r="N882" t="str">
        <f t="shared" si="92"/>
        <v>1938-08-23</v>
      </c>
      <c r="O882">
        <f t="shared" si="93"/>
        <v>73</v>
      </c>
      <c r="P882" t="str">
        <f t="shared" si="94"/>
        <v>kobieta</v>
      </c>
      <c r="Q882">
        <f t="shared" si="95"/>
        <v>164</v>
      </c>
      <c r="R882">
        <f t="shared" si="96"/>
        <v>48</v>
      </c>
      <c r="S882">
        <f t="shared" ca="1" si="97"/>
        <v>58</v>
      </c>
    </row>
    <row r="883" spans="1:19">
      <c r="A883" s="1" t="s">
        <v>19</v>
      </c>
      <c r="B883" s="2">
        <v>773.72</v>
      </c>
      <c r="C883" s="1">
        <v>773.72</v>
      </c>
      <c r="D883" s="1" t="s">
        <v>170</v>
      </c>
      <c r="E883" s="1">
        <v>13</v>
      </c>
      <c r="F883" s="3">
        <v>860</v>
      </c>
      <c r="G883" s="1">
        <v>1</v>
      </c>
      <c r="H883" s="1" t="s">
        <v>1944</v>
      </c>
      <c r="I883" s="1" t="s">
        <v>172</v>
      </c>
      <c r="J883" s="1" t="s">
        <v>16</v>
      </c>
      <c r="K883" s="1" t="s">
        <v>1930</v>
      </c>
      <c r="L883" s="1" t="s">
        <v>1732</v>
      </c>
      <c r="M883">
        <f t="shared" si="91"/>
        <v>773.72</v>
      </c>
      <c r="N883" t="str">
        <f t="shared" si="92"/>
        <v>1948-02-10</v>
      </c>
      <c r="O883">
        <f t="shared" si="93"/>
        <v>63</v>
      </c>
      <c r="P883" t="str">
        <f t="shared" si="94"/>
        <v>kobieta</v>
      </c>
      <c r="Q883">
        <f t="shared" si="95"/>
        <v>82</v>
      </c>
      <c r="R883">
        <f t="shared" si="96"/>
        <v>48</v>
      </c>
      <c r="S883">
        <f t="shared" ca="1" si="97"/>
        <v>0</v>
      </c>
    </row>
    <row r="884" spans="1:19">
      <c r="A884" s="1" t="s">
        <v>19</v>
      </c>
      <c r="B884" s="2">
        <v>300</v>
      </c>
      <c r="C884" s="1">
        <v>300</v>
      </c>
      <c r="D884" s="1" t="s">
        <v>598</v>
      </c>
      <c r="E884" s="1">
        <v>13</v>
      </c>
      <c r="F884" s="3">
        <v>1536</v>
      </c>
      <c r="G884" s="1">
        <v>2</v>
      </c>
      <c r="H884" s="1" t="s">
        <v>1945</v>
      </c>
      <c r="I884" s="1" t="s">
        <v>600</v>
      </c>
      <c r="J884" s="1" t="s">
        <v>16</v>
      </c>
      <c r="K884" s="1" t="s">
        <v>1930</v>
      </c>
      <c r="L884" s="1" t="s">
        <v>1785</v>
      </c>
      <c r="M884">
        <f t="shared" si="91"/>
        <v>300</v>
      </c>
      <c r="N884" t="str">
        <f t="shared" si="92"/>
        <v>1937-09-11</v>
      </c>
      <c r="O884">
        <f t="shared" si="93"/>
        <v>74</v>
      </c>
      <c r="P884" t="str">
        <f t="shared" si="94"/>
        <v>kobieta</v>
      </c>
      <c r="Q884">
        <f t="shared" si="95"/>
        <v>38</v>
      </c>
      <c r="R884">
        <f t="shared" si="96"/>
        <v>48</v>
      </c>
      <c r="S884">
        <f t="shared" ca="1" si="97"/>
        <v>3</v>
      </c>
    </row>
    <row r="885" spans="1:19">
      <c r="A885" s="1" t="s">
        <v>19</v>
      </c>
      <c r="B885" s="2">
        <v>1000</v>
      </c>
      <c r="C885" s="1">
        <v>1000</v>
      </c>
      <c r="D885" s="1" t="s">
        <v>759</v>
      </c>
      <c r="E885" s="1">
        <v>13</v>
      </c>
      <c r="F885" s="3">
        <v>2291</v>
      </c>
      <c r="G885" s="1">
        <v>3</v>
      </c>
      <c r="H885" s="1" t="s">
        <v>1946</v>
      </c>
      <c r="I885" s="1" t="s">
        <v>761</v>
      </c>
      <c r="J885" s="1" t="s">
        <v>16</v>
      </c>
      <c r="K885" s="1" t="s">
        <v>1947</v>
      </c>
      <c r="L885" s="1" t="s">
        <v>1785</v>
      </c>
      <c r="M885">
        <f t="shared" si="91"/>
        <v>1000</v>
      </c>
      <c r="N885" t="str">
        <f t="shared" si="92"/>
        <v>1942-02-01</v>
      </c>
      <c r="O885">
        <f t="shared" si="93"/>
        <v>69</v>
      </c>
      <c r="P885" t="str">
        <f t="shared" si="94"/>
        <v>kobieta</v>
      </c>
      <c r="Q885">
        <f t="shared" si="95"/>
        <v>73</v>
      </c>
      <c r="R885">
        <f t="shared" si="96"/>
        <v>48</v>
      </c>
      <c r="S885">
        <f t="shared" ca="1" si="97"/>
        <v>1</v>
      </c>
    </row>
    <row r="886" spans="1:19">
      <c r="A886" s="1" t="s">
        <v>19</v>
      </c>
      <c r="B886" s="2">
        <v>200</v>
      </c>
      <c r="C886" s="1">
        <v>200</v>
      </c>
      <c r="D886" s="1" t="s">
        <v>667</v>
      </c>
      <c r="E886" s="1">
        <v>16</v>
      </c>
      <c r="F886" s="3">
        <v>749.28</v>
      </c>
      <c r="G886" s="1">
        <v>7</v>
      </c>
      <c r="H886" s="1" t="s">
        <v>1948</v>
      </c>
      <c r="I886" s="1" t="s">
        <v>669</v>
      </c>
      <c r="J886" s="1" t="s">
        <v>16</v>
      </c>
      <c r="K886" s="1" t="s">
        <v>1947</v>
      </c>
      <c r="L886" s="1" t="s">
        <v>1785</v>
      </c>
      <c r="M886">
        <f t="shared" si="91"/>
        <v>200</v>
      </c>
      <c r="N886" t="str">
        <f t="shared" si="92"/>
        <v>1958-05-27</v>
      </c>
      <c r="O886">
        <f t="shared" si="93"/>
        <v>53</v>
      </c>
      <c r="P886" t="str">
        <f t="shared" si="94"/>
        <v>kobieta</v>
      </c>
      <c r="Q886">
        <f t="shared" si="95"/>
        <v>67</v>
      </c>
      <c r="R886">
        <f t="shared" si="96"/>
        <v>48</v>
      </c>
      <c r="S886">
        <f t="shared" ca="1" si="97"/>
        <v>1</v>
      </c>
    </row>
    <row r="887" spans="1:19">
      <c r="A887" s="1" t="s">
        <v>12</v>
      </c>
      <c r="B887" s="2">
        <v>387.15</v>
      </c>
      <c r="C887" s="1">
        <v>387.15</v>
      </c>
      <c r="D887" s="1" t="s">
        <v>1475</v>
      </c>
      <c r="E887" s="1">
        <v>16</v>
      </c>
      <c r="F887" s="3">
        <v>1401</v>
      </c>
      <c r="G887" s="1">
        <v>1</v>
      </c>
      <c r="H887" s="1" t="s">
        <v>1949</v>
      </c>
      <c r="I887" s="1" t="s">
        <v>224</v>
      </c>
      <c r="J887" s="1" t="s">
        <v>16</v>
      </c>
      <c r="K887" s="1" t="s">
        <v>1947</v>
      </c>
      <c r="L887" s="1" t="s">
        <v>1950</v>
      </c>
      <c r="M887">
        <f t="shared" si="91"/>
        <v>387.15</v>
      </c>
      <c r="N887" t="str">
        <f t="shared" si="92"/>
        <v>1942-02-25</v>
      </c>
      <c r="O887">
        <f t="shared" si="93"/>
        <v>69</v>
      </c>
      <c r="P887" t="str">
        <f t="shared" si="94"/>
        <v>kobieta</v>
      </c>
      <c r="Q887">
        <f t="shared" si="95"/>
        <v>77</v>
      </c>
      <c r="R887">
        <f t="shared" si="96"/>
        <v>48</v>
      </c>
      <c r="S887">
        <f t="shared" ca="1" si="97"/>
        <v>119</v>
      </c>
    </row>
    <row r="888" spans="1:19">
      <c r="A888" s="1" t="s">
        <v>19</v>
      </c>
      <c r="B888" s="2">
        <v>400</v>
      </c>
      <c r="C888" s="1">
        <v>400</v>
      </c>
      <c r="D888" s="1" t="s">
        <v>704</v>
      </c>
      <c r="E888" s="1">
        <v>16</v>
      </c>
      <c r="F888" s="3">
        <v>1473.04</v>
      </c>
      <c r="G888" s="1">
        <v>4</v>
      </c>
      <c r="H888" s="1" t="s">
        <v>1951</v>
      </c>
      <c r="I888" s="1" t="s">
        <v>706</v>
      </c>
      <c r="J888" s="1" t="s">
        <v>16</v>
      </c>
      <c r="K888" s="1" t="s">
        <v>1947</v>
      </c>
      <c r="L888" s="1" t="s">
        <v>1785</v>
      </c>
      <c r="M888">
        <f t="shared" si="91"/>
        <v>400</v>
      </c>
      <c r="N888" t="str">
        <f t="shared" si="92"/>
        <v>1946-09-02</v>
      </c>
      <c r="O888">
        <f t="shared" si="93"/>
        <v>65</v>
      </c>
      <c r="P888" t="str">
        <f t="shared" si="94"/>
        <v>mężczyzna</v>
      </c>
      <c r="Q888">
        <f t="shared" si="95"/>
        <v>167</v>
      </c>
      <c r="R888">
        <f t="shared" si="96"/>
        <v>48</v>
      </c>
      <c r="S888">
        <f t="shared" ca="1" si="97"/>
        <v>1</v>
      </c>
    </row>
    <row r="889" spans="1:19">
      <c r="A889" s="1" t="s">
        <v>19</v>
      </c>
      <c r="B889" s="2">
        <v>200</v>
      </c>
      <c r="C889" s="1">
        <v>200</v>
      </c>
      <c r="D889" s="1" t="s">
        <v>710</v>
      </c>
      <c r="E889" s="1">
        <v>98</v>
      </c>
      <c r="F889" s="3">
        <v>980</v>
      </c>
      <c r="G889" s="1">
        <v>6</v>
      </c>
      <c r="H889" s="1" t="s">
        <v>1952</v>
      </c>
      <c r="I889" s="1" t="s">
        <v>712</v>
      </c>
      <c r="J889" s="1" t="s">
        <v>16</v>
      </c>
      <c r="K889" s="1" t="s">
        <v>1947</v>
      </c>
      <c r="L889" s="1" t="s">
        <v>1750</v>
      </c>
      <c r="M889">
        <f t="shared" si="91"/>
        <v>200</v>
      </c>
      <c r="N889" t="str">
        <f t="shared" si="92"/>
        <v>1955-08-26</v>
      </c>
      <c r="O889">
        <f t="shared" si="93"/>
        <v>56</v>
      </c>
      <c r="P889" t="str">
        <f t="shared" si="94"/>
        <v>kobieta</v>
      </c>
      <c r="Q889">
        <f t="shared" si="95"/>
        <v>12</v>
      </c>
      <c r="R889">
        <f t="shared" si="96"/>
        <v>48</v>
      </c>
      <c r="S889">
        <f t="shared" ca="1" si="97"/>
        <v>0</v>
      </c>
    </row>
    <row r="890" spans="1:19">
      <c r="A890" s="1" t="s">
        <v>19</v>
      </c>
      <c r="B890" s="2">
        <v>300</v>
      </c>
      <c r="C890" s="1">
        <v>300</v>
      </c>
      <c r="D890" s="1" t="s">
        <v>661</v>
      </c>
      <c r="E890" s="1">
        <v>12</v>
      </c>
      <c r="F890" s="3">
        <v>1038.68</v>
      </c>
      <c r="G890" s="1">
        <v>3</v>
      </c>
      <c r="H890" s="1" t="s">
        <v>1953</v>
      </c>
      <c r="I890" s="1" t="s">
        <v>663</v>
      </c>
      <c r="J890" s="1" t="s">
        <v>246</v>
      </c>
      <c r="K890" s="1" t="s">
        <v>1947</v>
      </c>
      <c r="L890" s="1" t="s">
        <v>1785</v>
      </c>
      <c r="M890">
        <f t="shared" si="91"/>
        <v>300</v>
      </c>
      <c r="N890" t="str">
        <f t="shared" si="92"/>
        <v>1965-11-28</v>
      </c>
      <c r="O890">
        <f t="shared" si="93"/>
        <v>46</v>
      </c>
      <c r="P890" t="str">
        <f t="shared" si="94"/>
        <v>kobieta</v>
      </c>
      <c r="Q890">
        <f t="shared" si="95"/>
        <v>23</v>
      </c>
      <c r="R890">
        <f t="shared" si="96"/>
        <v>3</v>
      </c>
      <c r="S890">
        <f t="shared" ca="1" si="97"/>
        <v>1</v>
      </c>
    </row>
    <row r="891" spans="1:19">
      <c r="A891" s="1" t="s">
        <v>19</v>
      </c>
      <c r="B891" s="2">
        <v>300</v>
      </c>
      <c r="C891" s="1">
        <v>300</v>
      </c>
      <c r="D891" s="1" t="s">
        <v>707</v>
      </c>
      <c r="E891" s="1">
        <v>13</v>
      </c>
      <c r="F891" s="3">
        <v>1426</v>
      </c>
      <c r="G891" s="1">
        <v>7</v>
      </c>
      <c r="H891" s="1" t="s">
        <v>1954</v>
      </c>
      <c r="I891" s="1" t="s">
        <v>709</v>
      </c>
      <c r="J891" s="1" t="s">
        <v>16</v>
      </c>
      <c r="K891" s="1" t="s">
        <v>1947</v>
      </c>
      <c r="L891" s="1" t="s">
        <v>1785</v>
      </c>
      <c r="M891">
        <f t="shared" si="91"/>
        <v>300</v>
      </c>
      <c r="N891" t="str">
        <f t="shared" si="92"/>
        <v>1940-08-08</v>
      </c>
      <c r="O891">
        <f t="shared" si="93"/>
        <v>71</v>
      </c>
      <c r="P891" t="str">
        <f t="shared" si="94"/>
        <v>mężczyzna</v>
      </c>
      <c r="Q891">
        <f t="shared" si="95"/>
        <v>79</v>
      </c>
      <c r="R891">
        <f t="shared" si="96"/>
        <v>48</v>
      </c>
      <c r="S891">
        <f t="shared" ca="1" si="97"/>
        <v>1</v>
      </c>
    </row>
    <row r="892" spans="1:19">
      <c r="A892" s="1" t="s">
        <v>19</v>
      </c>
      <c r="B892" s="2">
        <v>342.86</v>
      </c>
      <c r="C892" s="1">
        <v>342.86</v>
      </c>
      <c r="D892" s="1" t="s">
        <v>1396</v>
      </c>
      <c r="E892" s="1">
        <v>13</v>
      </c>
      <c r="F892" s="3">
        <v>1087</v>
      </c>
      <c r="G892" s="1">
        <v>1</v>
      </c>
      <c r="H892" s="1" t="s">
        <v>1955</v>
      </c>
      <c r="I892" s="1" t="s">
        <v>230</v>
      </c>
      <c r="J892" s="1" t="s">
        <v>16</v>
      </c>
      <c r="K892" s="1" t="s">
        <v>1947</v>
      </c>
      <c r="L892" s="1" t="s">
        <v>1956</v>
      </c>
      <c r="M892">
        <f t="shared" si="91"/>
        <v>342.86</v>
      </c>
      <c r="N892" t="str">
        <f t="shared" si="92"/>
        <v>1951-03-01</v>
      </c>
      <c r="O892">
        <f t="shared" si="93"/>
        <v>60</v>
      </c>
      <c r="P892" t="str">
        <f t="shared" si="94"/>
        <v>kobieta</v>
      </c>
      <c r="Q892">
        <f t="shared" si="95"/>
        <v>73</v>
      </c>
      <c r="R892">
        <f t="shared" si="96"/>
        <v>48</v>
      </c>
      <c r="S892">
        <f t="shared" ca="1" si="97"/>
        <v>4</v>
      </c>
    </row>
    <row r="893" spans="1:19">
      <c r="A893" s="1" t="s">
        <v>19</v>
      </c>
      <c r="B893" s="2">
        <v>200</v>
      </c>
      <c r="C893" s="1">
        <v>200</v>
      </c>
      <c r="D893" s="1" t="s">
        <v>645</v>
      </c>
      <c r="E893" s="1">
        <v>99</v>
      </c>
      <c r="F893" s="3">
        <v>780</v>
      </c>
      <c r="G893" s="1">
        <v>3</v>
      </c>
      <c r="H893" s="1" t="s">
        <v>1957</v>
      </c>
      <c r="I893" s="1" t="s">
        <v>647</v>
      </c>
      <c r="J893" s="1" t="s">
        <v>1958</v>
      </c>
      <c r="K893" s="1" t="s">
        <v>1947</v>
      </c>
      <c r="L893" s="1" t="s">
        <v>1785</v>
      </c>
      <c r="M893">
        <f t="shared" si="91"/>
        <v>200</v>
      </c>
      <c r="N893" t="str">
        <f t="shared" si="92"/>
        <v>1954-12-19</v>
      </c>
      <c r="O893">
        <f t="shared" si="93"/>
        <v>57</v>
      </c>
      <c r="P893" t="str">
        <f t="shared" si="94"/>
        <v>kobieta</v>
      </c>
      <c r="Q893">
        <f t="shared" si="95"/>
        <v>3</v>
      </c>
      <c r="R893">
        <f t="shared" si="96"/>
        <v>1</v>
      </c>
      <c r="S893">
        <f t="shared" ca="1" si="97"/>
        <v>1</v>
      </c>
    </row>
    <row r="894" spans="1:19">
      <c r="A894" s="1" t="s">
        <v>12</v>
      </c>
      <c r="B894" s="2">
        <v>800</v>
      </c>
      <c r="C894" s="1">
        <v>750</v>
      </c>
      <c r="D894" s="1" t="s">
        <v>208</v>
      </c>
      <c r="E894" s="1">
        <v>16</v>
      </c>
      <c r="F894" s="3">
        <v>588</v>
      </c>
      <c r="G894" s="1">
        <v>0</v>
      </c>
      <c r="H894" s="1" t="s">
        <v>1959</v>
      </c>
      <c r="I894" s="1" t="s">
        <v>210</v>
      </c>
      <c r="J894" s="1" t="s">
        <v>16</v>
      </c>
      <c r="K894" s="1" t="s">
        <v>1947</v>
      </c>
      <c r="L894" s="1" t="s">
        <v>1960</v>
      </c>
      <c r="M894">
        <f t="shared" si="91"/>
        <v>750</v>
      </c>
      <c r="N894" t="str">
        <f t="shared" si="92"/>
        <v>1956-03-30</v>
      </c>
      <c r="O894">
        <f t="shared" si="93"/>
        <v>55</v>
      </c>
      <c r="P894" t="str">
        <f t="shared" si="94"/>
        <v>mężczyzna</v>
      </c>
      <c r="Q894">
        <f t="shared" si="95"/>
        <v>424</v>
      </c>
      <c r="R894">
        <f t="shared" si="96"/>
        <v>48</v>
      </c>
      <c r="S894">
        <f t="shared" ca="1" si="97"/>
        <v>11</v>
      </c>
    </row>
    <row r="895" spans="1:19">
      <c r="A895" s="1" t="s">
        <v>19</v>
      </c>
      <c r="B895" s="2">
        <v>400</v>
      </c>
      <c r="C895" s="1">
        <v>300</v>
      </c>
      <c r="D895" s="1" t="s">
        <v>1961</v>
      </c>
      <c r="E895" s="1">
        <v>13</v>
      </c>
      <c r="F895" s="3">
        <v>1374</v>
      </c>
      <c r="G895" s="1">
        <v>0</v>
      </c>
      <c r="H895" s="1" t="s">
        <v>1962</v>
      </c>
      <c r="I895" s="1" t="s">
        <v>1844</v>
      </c>
      <c r="J895" s="1" t="s">
        <v>16</v>
      </c>
      <c r="K895" s="1" t="s">
        <v>1947</v>
      </c>
      <c r="L895" s="1" t="s">
        <v>1778</v>
      </c>
      <c r="M895">
        <f t="shared" si="91"/>
        <v>300</v>
      </c>
      <c r="N895" t="str">
        <f t="shared" si="92"/>
        <v>1950-01-02</v>
      </c>
      <c r="O895">
        <f t="shared" si="93"/>
        <v>61</v>
      </c>
      <c r="P895" t="str">
        <f t="shared" si="94"/>
        <v>kobieta</v>
      </c>
      <c r="Q895">
        <f t="shared" si="95"/>
        <v>48</v>
      </c>
      <c r="R895">
        <f t="shared" si="96"/>
        <v>48</v>
      </c>
      <c r="S895">
        <f t="shared" ca="1" si="97"/>
        <v>0</v>
      </c>
    </row>
    <row r="896" spans="1:19">
      <c r="A896" s="1" t="s">
        <v>19</v>
      </c>
      <c r="B896" s="2">
        <v>249.3</v>
      </c>
      <c r="C896" s="1">
        <v>249.3</v>
      </c>
      <c r="D896" s="1" t="s">
        <v>578</v>
      </c>
      <c r="E896" s="1">
        <v>16</v>
      </c>
      <c r="F896" s="3">
        <v>2100</v>
      </c>
      <c r="G896" s="1">
        <v>2</v>
      </c>
      <c r="H896" s="1" t="s">
        <v>1963</v>
      </c>
      <c r="I896" s="1" t="s">
        <v>580</v>
      </c>
      <c r="J896" s="1" t="s">
        <v>16</v>
      </c>
      <c r="K896" s="1" t="s">
        <v>1947</v>
      </c>
      <c r="L896" s="1" t="s">
        <v>1785</v>
      </c>
      <c r="M896">
        <f t="shared" si="91"/>
        <v>249.3</v>
      </c>
      <c r="N896" t="str">
        <f t="shared" si="92"/>
        <v>1954-07-29</v>
      </c>
      <c r="O896">
        <f t="shared" si="93"/>
        <v>57</v>
      </c>
      <c r="P896" t="str">
        <f t="shared" si="94"/>
        <v>kobieta</v>
      </c>
      <c r="Q896">
        <f t="shared" si="95"/>
        <v>41</v>
      </c>
      <c r="R896">
        <f t="shared" si="96"/>
        <v>48</v>
      </c>
      <c r="S896">
        <f t="shared" ca="1" si="97"/>
        <v>1</v>
      </c>
    </row>
    <row r="897" spans="1:19">
      <c r="A897" s="1" t="s">
        <v>19</v>
      </c>
      <c r="B897" s="2">
        <v>500</v>
      </c>
      <c r="C897" s="1">
        <v>500</v>
      </c>
      <c r="D897" s="1" t="s">
        <v>692</v>
      </c>
      <c r="E897" s="1">
        <v>17</v>
      </c>
      <c r="F897" s="3">
        <v>990</v>
      </c>
      <c r="G897" s="1">
        <v>3</v>
      </c>
      <c r="H897" s="1" t="s">
        <v>1964</v>
      </c>
      <c r="I897" s="1" t="s">
        <v>694</v>
      </c>
      <c r="J897" s="1" t="s">
        <v>695</v>
      </c>
      <c r="K897" s="1" t="s">
        <v>1947</v>
      </c>
      <c r="L897" s="1" t="s">
        <v>1785</v>
      </c>
      <c r="M897">
        <f t="shared" si="91"/>
        <v>500</v>
      </c>
      <c r="N897" t="str">
        <f t="shared" si="92"/>
        <v>1961-01-31</v>
      </c>
      <c r="O897">
        <f t="shared" si="93"/>
        <v>50</v>
      </c>
      <c r="P897" t="str">
        <f t="shared" si="94"/>
        <v>kobieta</v>
      </c>
      <c r="Q897">
        <f t="shared" si="95"/>
        <v>74</v>
      </c>
      <c r="R897">
        <f t="shared" si="96"/>
        <v>11</v>
      </c>
      <c r="S897">
        <f t="shared" ca="1" si="97"/>
        <v>1</v>
      </c>
    </row>
    <row r="898" spans="1:19">
      <c r="A898" s="1" t="s">
        <v>19</v>
      </c>
      <c r="B898" s="2">
        <v>500</v>
      </c>
      <c r="C898" s="1">
        <v>500</v>
      </c>
      <c r="D898" s="1" t="s">
        <v>698</v>
      </c>
      <c r="E898" s="1">
        <v>11</v>
      </c>
      <c r="F898" s="3">
        <v>2080</v>
      </c>
      <c r="G898" s="1">
        <v>1</v>
      </c>
      <c r="H898" s="1" t="s">
        <v>1965</v>
      </c>
      <c r="I898" s="1" t="s">
        <v>700</v>
      </c>
      <c r="J898" s="1" t="s">
        <v>16</v>
      </c>
      <c r="K898" s="1" t="s">
        <v>1947</v>
      </c>
      <c r="L898" s="1" t="s">
        <v>1750</v>
      </c>
      <c r="M898">
        <f t="shared" si="91"/>
        <v>500</v>
      </c>
      <c r="N898" t="str">
        <f t="shared" si="92"/>
        <v>1958-10-06</v>
      </c>
      <c r="O898">
        <f t="shared" si="93"/>
        <v>53</v>
      </c>
      <c r="P898" t="str">
        <f t="shared" si="94"/>
        <v>mężczyzna</v>
      </c>
      <c r="Q898">
        <f t="shared" si="95"/>
        <v>320</v>
      </c>
      <c r="R898">
        <f t="shared" si="96"/>
        <v>48</v>
      </c>
      <c r="S898">
        <f t="shared" ca="1" si="97"/>
        <v>0</v>
      </c>
    </row>
    <row r="899" spans="1:19">
      <c r="A899" s="1" t="s">
        <v>19</v>
      </c>
      <c r="B899" s="2">
        <v>300</v>
      </c>
      <c r="C899" s="1">
        <v>300</v>
      </c>
      <c r="D899" s="1" t="s">
        <v>632</v>
      </c>
      <c r="E899" s="1">
        <v>98</v>
      </c>
      <c r="F899" s="3">
        <v>911</v>
      </c>
      <c r="G899" s="1">
        <v>7</v>
      </c>
      <c r="H899" s="1" t="s">
        <v>1966</v>
      </c>
      <c r="I899" s="1" t="s">
        <v>634</v>
      </c>
      <c r="J899" s="1" t="s">
        <v>16</v>
      </c>
      <c r="K899" s="1" t="s">
        <v>1947</v>
      </c>
      <c r="L899" s="1" t="s">
        <v>1785</v>
      </c>
      <c r="M899">
        <f t="shared" ref="M899:M962" si="98">IF(A899="odmowa", B899,C899)</f>
        <v>300</v>
      </c>
      <c r="N899" t="str">
        <f t="shared" ref="N899:N962" si="99">CONCATENATE("19", MID(D899, 1, 2), "-", MID(D899, 3, 2), "-", MID(D899, 5, 2))</f>
        <v>1965-04-24</v>
      </c>
      <c r="O899">
        <f t="shared" ref="O899:O962" si="100">YEAR(H899) - YEAR(N899)</f>
        <v>46</v>
      </c>
      <c r="P899" t="str">
        <f t="shared" ref="P899:P962" si="101">IF(MOD(MID(D899, 10, 1), 2)=0, "kobieta", "mężczyzna")</f>
        <v>kobieta</v>
      </c>
      <c r="Q899">
        <f t="shared" ref="Q899:Q962" si="102">(YEAR(H899) - YEAR(I899)) * 12 + MONTH(H899) - MONTH(I899)</f>
        <v>100</v>
      </c>
      <c r="R899">
        <f t="shared" ref="R899:R962" si="103">IF(LEFT(J899, 4)="0000", 48, MIN(48, (YEAR(J899) - YEAR(H899)) * 12 + MONTH(J899) - MONTH(H899)))</f>
        <v>48</v>
      </c>
      <c r="S899">
        <f t="shared" ref="S899:S962" ca="1" si="104">IF(LEFT(K899, 4)="0000", 0, IF(LEFT(L899, 4)="0000", MAX(0, TODAY() - K899), MAX(0, L899 - K899)))</f>
        <v>1</v>
      </c>
    </row>
    <row r="900" spans="1:19">
      <c r="A900" s="1" t="s">
        <v>19</v>
      </c>
      <c r="B900" s="2">
        <v>472.7</v>
      </c>
      <c r="C900" s="1">
        <v>472.7</v>
      </c>
      <c r="D900" s="1" t="s">
        <v>747</v>
      </c>
      <c r="E900" s="1">
        <v>13</v>
      </c>
      <c r="F900" s="3">
        <v>3700</v>
      </c>
      <c r="G900" s="1">
        <v>7</v>
      </c>
      <c r="H900" s="1" t="s">
        <v>1967</v>
      </c>
      <c r="I900" s="1" t="s">
        <v>96</v>
      </c>
      <c r="J900" s="1" t="s">
        <v>16</v>
      </c>
      <c r="K900" s="1" t="s">
        <v>1947</v>
      </c>
      <c r="L900" s="1" t="s">
        <v>1785</v>
      </c>
      <c r="M900">
        <f t="shared" si="98"/>
        <v>472.7</v>
      </c>
      <c r="N900" t="str">
        <f t="shared" si="99"/>
        <v>1949-07-02</v>
      </c>
      <c r="O900">
        <f t="shared" si="100"/>
        <v>62</v>
      </c>
      <c r="P900" t="str">
        <f t="shared" si="101"/>
        <v>kobieta</v>
      </c>
      <c r="Q900">
        <f t="shared" si="102"/>
        <v>29</v>
      </c>
      <c r="R900">
        <f t="shared" si="103"/>
        <v>48</v>
      </c>
      <c r="S900">
        <f t="shared" ca="1" si="104"/>
        <v>1</v>
      </c>
    </row>
    <row r="901" spans="1:19">
      <c r="A901" s="1" t="s">
        <v>56</v>
      </c>
      <c r="B901" s="2">
        <v>200</v>
      </c>
      <c r="C901" s="1">
        <v>200</v>
      </c>
      <c r="D901" s="1" t="s">
        <v>533</v>
      </c>
      <c r="E901" s="1">
        <v>12</v>
      </c>
      <c r="F901" s="3">
        <v>984.34</v>
      </c>
      <c r="G901" s="1">
        <v>6</v>
      </c>
      <c r="H901" s="1" t="s">
        <v>1968</v>
      </c>
      <c r="I901" s="1" t="s">
        <v>535</v>
      </c>
      <c r="J901" s="1" t="s">
        <v>63</v>
      </c>
      <c r="K901" s="1" t="s">
        <v>1947</v>
      </c>
      <c r="L901" s="1" t="s">
        <v>28</v>
      </c>
      <c r="M901">
        <f t="shared" si="98"/>
        <v>200</v>
      </c>
      <c r="N901" t="str">
        <f t="shared" si="99"/>
        <v>1958-03-15</v>
      </c>
      <c r="O901">
        <f t="shared" si="100"/>
        <v>53</v>
      </c>
      <c r="P901" t="str">
        <f t="shared" si="101"/>
        <v>kobieta</v>
      </c>
      <c r="Q901">
        <f t="shared" si="102"/>
        <v>20</v>
      </c>
      <c r="R901">
        <f t="shared" si="103"/>
        <v>0</v>
      </c>
      <c r="S901">
        <f t="shared" ca="1" si="104"/>
        <v>5195</v>
      </c>
    </row>
    <row r="902" spans="1:19">
      <c r="A902" s="1" t="s">
        <v>19</v>
      </c>
      <c r="B902" s="2">
        <v>400</v>
      </c>
      <c r="C902" s="1">
        <v>400</v>
      </c>
      <c r="D902" s="1" t="s">
        <v>744</v>
      </c>
      <c r="E902" s="1">
        <v>12</v>
      </c>
      <c r="F902" s="3">
        <v>1000</v>
      </c>
      <c r="G902" s="1">
        <v>7</v>
      </c>
      <c r="H902" s="1" t="s">
        <v>1969</v>
      </c>
      <c r="I902" s="1" t="s">
        <v>395</v>
      </c>
      <c r="J902" s="1" t="s">
        <v>1970</v>
      </c>
      <c r="K902" s="1" t="s">
        <v>1947</v>
      </c>
      <c r="L902" s="1" t="s">
        <v>1956</v>
      </c>
      <c r="M902">
        <f t="shared" si="98"/>
        <v>400</v>
      </c>
      <c r="N902" t="str">
        <f t="shared" si="99"/>
        <v>1951-04-12</v>
      </c>
      <c r="O902">
        <f t="shared" si="100"/>
        <v>60</v>
      </c>
      <c r="P902" t="str">
        <f t="shared" si="101"/>
        <v>mężczyzna</v>
      </c>
      <c r="Q902">
        <f t="shared" si="102"/>
        <v>14</v>
      </c>
      <c r="R902">
        <f t="shared" si="103"/>
        <v>12</v>
      </c>
      <c r="S902">
        <f t="shared" ca="1" si="104"/>
        <v>4</v>
      </c>
    </row>
    <row r="903" spans="1:19">
      <c r="A903" s="1" t="s">
        <v>19</v>
      </c>
      <c r="B903" s="2">
        <v>400</v>
      </c>
      <c r="C903" s="1">
        <v>400</v>
      </c>
      <c r="D903" s="1" t="s">
        <v>741</v>
      </c>
      <c r="E903" s="1">
        <v>12</v>
      </c>
      <c r="F903" s="3">
        <v>1000</v>
      </c>
      <c r="G903" s="1">
        <v>7</v>
      </c>
      <c r="H903" s="1" t="s">
        <v>1971</v>
      </c>
      <c r="I903" s="1" t="s">
        <v>743</v>
      </c>
      <c r="J903" s="1" t="s">
        <v>63</v>
      </c>
      <c r="K903" s="1" t="s">
        <v>1947</v>
      </c>
      <c r="L903" s="1" t="s">
        <v>1956</v>
      </c>
      <c r="M903">
        <f t="shared" si="98"/>
        <v>400</v>
      </c>
      <c r="N903" t="str">
        <f t="shared" si="99"/>
        <v>1961-05-20</v>
      </c>
      <c r="O903">
        <f t="shared" si="100"/>
        <v>50</v>
      </c>
      <c r="P903" t="str">
        <f t="shared" si="101"/>
        <v>kobieta</v>
      </c>
      <c r="Q903">
        <f t="shared" si="102"/>
        <v>34</v>
      </c>
      <c r="R903">
        <f t="shared" si="103"/>
        <v>0</v>
      </c>
      <c r="S903">
        <f t="shared" ca="1" si="104"/>
        <v>4</v>
      </c>
    </row>
    <row r="904" spans="1:19">
      <c r="A904" s="1" t="s">
        <v>12</v>
      </c>
      <c r="B904" s="2">
        <v>1000</v>
      </c>
      <c r="C904" s="1">
        <v>1000</v>
      </c>
      <c r="D904" s="1" t="s">
        <v>1377</v>
      </c>
      <c r="E904" s="1">
        <v>11</v>
      </c>
      <c r="F904" s="3">
        <v>1900</v>
      </c>
      <c r="G904" s="1">
        <v>1</v>
      </c>
      <c r="H904" s="1" t="s">
        <v>1972</v>
      </c>
      <c r="I904" s="1" t="s">
        <v>1379</v>
      </c>
      <c r="J904" s="1" t="s">
        <v>16</v>
      </c>
      <c r="K904" s="1" t="s">
        <v>1947</v>
      </c>
      <c r="L904" s="1" t="s">
        <v>1750</v>
      </c>
      <c r="M904">
        <f t="shared" si="98"/>
        <v>1000</v>
      </c>
      <c r="N904" t="str">
        <f t="shared" si="99"/>
        <v>1975-02-04</v>
      </c>
      <c r="O904">
        <f t="shared" si="100"/>
        <v>36</v>
      </c>
      <c r="P904" t="str">
        <f t="shared" si="101"/>
        <v>kobieta</v>
      </c>
      <c r="Q904">
        <f t="shared" si="102"/>
        <v>181</v>
      </c>
      <c r="R904">
        <f t="shared" si="103"/>
        <v>48</v>
      </c>
      <c r="S904">
        <f t="shared" ca="1" si="104"/>
        <v>0</v>
      </c>
    </row>
    <row r="905" spans="1:19">
      <c r="A905" s="1" t="s">
        <v>19</v>
      </c>
      <c r="B905" s="2">
        <v>300</v>
      </c>
      <c r="C905" s="1">
        <v>300</v>
      </c>
      <c r="D905" s="1" t="s">
        <v>731</v>
      </c>
      <c r="E905" s="1">
        <v>13</v>
      </c>
      <c r="F905" s="3">
        <v>1100</v>
      </c>
      <c r="G905" s="1">
        <v>4</v>
      </c>
      <c r="H905" s="1" t="s">
        <v>1973</v>
      </c>
      <c r="I905" s="1" t="s">
        <v>383</v>
      </c>
      <c r="J905" s="1" t="s">
        <v>16</v>
      </c>
      <c r="K905" s="1" t="s">
        <v>1947</v>
      </c>
      <c r="L905" s="1" t="s">
        <v>1785</v>
      </c>
      <c r="M905">
        <f t="shared" si="98"/>
        <v>300</v>
      </c>
      <c r="N905" t="str">
        <f t="shared" si="99"/>
        <v>1948-01-24</v>
      </c>
      <c r="O905">
        <f t="shared" si="100"/>
        <v>63</v>
      </c>
      <c r="P905" t="str">
        <f t="shared" si="101"/>
        <v>kobieta</v>
      </c>
      <c r="Q905">
        <f t="shared" si="102"/>
        <v>107</v>
      </c>
      <c r="R905">
        <f t="shared" si="103"/>
        <v>48</v>
      </c>
      <c r="S905">
        <f t="shared" ca="1" si="104"/>
        <v>1</v>
      </c>
    </row>
    <row r="906" spans="1:19">
      <c r="A906" s="1" t="s">
        <v>19</v>
      </c>
      <c r="B906" s="2">
        <v>400</v>
      </c>
      <c r="C906" s="1">
        <v>400</v>
      </c>
      <c r="D906" s="1" t="s">
        <v>94</v>
      </c>
      <c r="E906" s="1">
        <v>16</v>
      </c>
      <c r="F906" s="3">
        <v>1589</v>
      </c>
      <c r="G906" s="1">
        <v>0</v>
      </c>
      <c r="H906" s="1" t="s">
        <v>1974</v>
      </c>
      <c r="I906" s="1" t="s">
        <v>96</v>
      </c>
      <c r="J906" s="1" t="s">
        <v>16</v>
      </c>
      <c r="K906" s="1" t="s">
        <v>1947</v>
      </c>
      <c r="L906" s="1" t="s">
        <v>1810</v>
      </c>
      <c r="M906">
        <f t="shared" si="98"/>
        <v>400</v>
      </c>
      <c r="N906" t="str">
        <f t="shared" si="99"/>
        <v>1953-10-11</v>
      </c>
      <c r="O906">
        <f t="shared" si="100"/>
        <v>58</v>
      </c>
      <c r="P906" t="str">
        <f t="shared" si="101"/>
        <v>kobieta</v>
      </c>
      <c r="Q906">
        <f t="shared" si="102"/>
        <v>29</v>
      </c>
      <c r="R906">
        <f t="shared" si="103"/>
        <v>48</v>
      </c>
      <c r="S906">
        <f t="shared" ca="1" si="104"/>
        <v>3</v>
      </c>
    </row>
    <row r="907" spans="1:19">
      <c r="A907" s="1" t="s">
        <v>19</v>
      </c>
      <c r="B907" s="2">
        <v>300</v>
      </c>
      <c r="C907" s="1">
        <v>300</v>
      </c>
      <c r="D907" s="1" t="s">
        <v>1502</v>
      </c>
      <c r="E907" s="1">
        <v>13</v>
      </c>
      <c r="F907" s="3">
        <v>802.83</v>
      </c>
      <c r="G907" s="1">
        <v>1</v>
      </c>
      <c r="H907" s="1" t="s">
        <v>1975</v>
      </c>
      <c r="I907" s="1" t="s">
        <v>157</v>
      </c>
      <c r="J907" s="1" t="s">
        <v>16</v>
      </c>
      <c r="K907" s="1" t="s">
        <v>1947</v>
      </c>
      <c r="L907" s="1" t="s">
        <v>1785</v>
      </c>
      <c r="M907">
        <f t="shared" si="98"/>
        <v>300</v>
      </c>
      <c r="N907" t="str">
        <f t="shared" si="99"/>
        <v>1946-08-20</v>
      </c>
      <c r="O907">
        <f t="shared" si="100"/>
        <v>65</v>
      </c>
      <c r="P907" t="str">
        <f t="shared" si="101"/>
        <v>kobieta</v>
      </c>
      <c r="Q907">
        <f t="shared" si="102"/>
        <v>203</v>
      </c>
      <c r="R907">
        <f t="shared" si="103"/>
        <v>48</v>
      </c>
      <c r="S907">
        <f t="shared" ca="1" si="104"/>
        <v>1</v>
      </c>
    </row>
    <row r="908" spans="1:19">
      <c r="A908" s="1" t="s">
        <v>56</v>
      </c>
      <c r="B908" s="2">
        <v>1921.84</v>
      </c>
      <c r="C908" s="1">
        <v>1921.84</v>
      </c>
      <c r="D908" s="1" t="s">
        <v>1182</v>
      </c>
      <c r="E908" s="1">
        <v>11</v>
      </c>
      <c r="F908" s="3">
        <v>2353</v>
      </c>
      <c r="G908" s="1">
        <v>1</v>
      </c>
      <c r="H908" s="1" t="s">
        <v>1976</v>
      </c>
      <c r="I908" s="1" t="s">
        <v>405</v>
      </c>
      <c r="J908" s="1" t="s">
        <v>16</v>
      </c>
      <c r="K908" s="1" t="s">
        <v>1947</v>
      </c>
      <c r="L908" s="1" t="s">
        <v>28</v>
      </c>
      <c r="M908">
        <f t="shared" si="98"/>
        <v>1921.84</v>
      </c>
      <c r="N908" t="str">
        <f t="shared" si="99"/>
        <v>1963-08-21</v>
      </c>
      <c r="O908">
        <f t="shared" si="100"/>
        <v>48</v>
      </c>
      <c r="P908" t="str">
        <f t="shared" si="101"/>
        <v>mężczyzna</v>
      </c>
      <c r="Q908">
        <f t="shared" si="102"/>
        <v>101</v>
      </c>
      <c r="R908">
        <f t="shared" si="103"/>
        <v>48</v>
      </c>
      <c r="S908">
        <f t="shared" ca="1" si="104"/>
        <v>5195</v>
      </c>
    </row>
    <row r="909" spans="1:19">
      <c r="A909" s="1" t="s">
        <v>19</v>
      </c>
      <c r="B909" s="2">
        <v>700</v>
      </c>
      <c r="C909" s="1">
        <v>600</v>
      </c>
      <c r="D909" s="1" t="s">
        <v>785</v>
      </c>
      <c r="E909" s="1">
        <v>13</v>
      </c>
      <c r="F909" s="3">
        <v>1233</v>
      </c>
      <c r="G909" s="1">
        <v>0</v>
      </c>
      <c r="H909" s="1" t="s">
        <v>1977</v>
      </c>
      <c r="I909" s="1" t="s">
        <v>787</v>
      </c>
      <c r="J909" s="1" t="s">
        <v>16</v>
      </c>
      <c r="K909" s="1" t="s">
        <v>1815</v>
      </c>
      <c r="L909" s="1" t="s">
        <v>357</v>
      </c>
      <c r="M909">
        <f t="shared" si="98"/>
        <v>600</v>
      </c>
      <c r="N909" t="str">
        <f t="shared" si="99"/>
        <v>1948-04-24</v>
      </c>
      <c r="O909">
        <f t="shared" si="100"/>
        <v>64</v>
      </c>
      <c r="P909" t="str">
        <f t="shared" si="101"/>
        <v>kobieta</v>
      </c>
      <c r="Q909">
        <f t="shared" si="102"/>
        <v>126</v>
      </c>
      <c r="R909">
        <f t="shared" si="103"/>
        <v>48</v>
      </c>
      <c r="S909">
        <f t="shared" ca="1" si="104"/>
        <v>0</v>
      </c>
    </row>
    <row r="910" spans="1:19">
      <c r="A910" s="1" t="s">
        <v>12</v>
      </c>
      <c r="B910" s="2">
        <v>300</v>
      </c>
      <c r="C910" s="1">
        <v>300</v>
      </c>
      <c r="D910" s="1" t="s">
        <v>497</v>
      </c>
      <c r="E910" s="1">
        <v>13</v>
      </c>
      <c r="F910" s="3">
        <v>1180</v>
      </c>
      <c r="G910" s="1">
        <v>0</v>
      </c>
      <c r="H910" s="1" t="s">
        <v>1978</v>
      </c>
      <c r="I910" s="1" t="s">
        <v>499</v>
      </c>
      <c r="J910" s="1" t="s">
        <v>16</v>
      </c>
      <c r="K910" s="1" t="s">
        <v>1815</v>
      </c>
      <c r="L910" s="1" t="s">
        <v>1638</v>
      </c>
      <c r="M910">
        <f t="shared" si="98"/>
        <v>300</v>
      </c>
      <c r="N910" t="str">
        <f t="shared" si="99"/>
        <v>1937-08-16</v>
      </c>
      <c r="O910">
        <f t="shared" si="100"/>
        <v>75</v>
      </c>
      <c r="P910" t="str">
        <f t="shared" si="101"/>
        <v>mężczyzna</v>
      </c>
      <c r="Q910">
        <f t="shared" si="102"/>
        <v>143</v>
      </c>
      <c r="R910">
        <f t="shared" si="103"/>
        <v>48</v>
      </c>
      <c r="S910">
        <f t="shared" ca="1" si="104"/>
        <v>0</v>
      </c>
    </row>
    <row r="911" spans="1:19">
      <c r="A911" s="1" t="s">
        <v>19</v>
      </c>
      <c r="B911" s="2">
        <v>200</v>
      </c>
      <c r="C911" s="1">
        <v>200</v>
      </c>
      <c r="D911" s="1" t="s">
        <v>1521</v>
      </c>
      <c r="E911" s="1">
        <v>13</v>
      </c>
      <c r="F911" s="3">
        <v>1642.87</v>
      </c>
      <c r="G911" s="1">
        <v>1</v>
      </c>
      <c r="H911" s="1" t="s">
        <v>1979</v>
      </c>
      <c r="I911" s="1" t="s">
        <v>328</v>
      </c>
      <c r="J911" s="1" t="s">
        <v>16</v>
      </c>
      <c r="K911" s="1" t="s">
        <v>1815</v>
      </c>
      <c r="L911" s="1" t="s">
        <v>1810</v>
      </c>
      <c r="M911">
        <f t="shared" si="98"/>
        <v>200</v>
      </c>
      <c r="N911" t="str">
        <f t="shared" si="99"/>
        <v>1941-02-26</v>
      </c>
      <c r="O911">
        <f t="shared" si="100"/>
        <v>71</v>
      </c>
      <c r="P911" t="str">
        <f t="shared" si="101"/>
        <v>mężczyzna</v>
      </c>
      <c r="Q911">
        <f t="shared" si="102"/>
        <v>72</v>
      </c>
      <c r="R911">
        <f t="shared" si="103"/>
        <v>48</v>
      </c>
      <c r="S911">
        <f t="shared" ca="1" si="104"/>
        <v>1</v>
      </c>
    </row>
    <row r="912" spans="1:19">
      <c r="A912" s="1" t="s">
        <v>19</v>
      </c>
      <c r="B912" s="2">
        <v>200</v>
      </c>
      <c r="C912" s="1">
        <v>200</v>
      </c>
      <c r="D912" s="1" t="s">
        <v>484</v>
      </c>
      <c r="E912" s="1">
        <v>11</v>
      </c>
      <c r="F912" s="3">
        <v>2505</v>
      </c>
      <c r="G912" s="1">
        <v>1</v>
      </c>
      <c r="H912" s="1" t="s">
        <v>1980</v>
      </c>
      <c r="I912" s="1" t="s">
        <v>486</v>
      </c>
      <c r="J912" s="1" t="s">
        <v>16</v>
      </c>
      <c r="K912" s="1" t="s">
        <v>1815</v>
      </c>
      <c r="L912" s="1" t="s">
        <v>357</v>
      </c>
      <c r="M912">
        <f t="shared" si="98"/>
        <v>200</v>
      </c>
      <c r="N912" t="str">
        <f t="shared" si="99"/>
        <v>1971-12-06</v>
      </c>
      <c r="O912">
        <f t="shared" si="100"/>
        <v>41</v>
      </c>
      <c r="P912" t="str">
        <f t="shared" si="101"/>
        <v>kobieta</v>
      </c>
      <c r="Q912">
        <f t="shared" si="102"/>
        <v>167</v>
      </c>
      <c r="R912">
        <f t="shared" si="103"/>
        <v>48</v>
      </c>
      <c r="S912">
        <f t="shared" ca="1" si="104"/>
        <v>0</v>
      </c>
    </row>
    <row r="913" spans="1:19">
      <c r="A913" s="1" t="s">
        <v>19</v>
      </c>
      <c r="B913" s="2">
        <v>200</v>
      </c>
      <c r="C913" s="1">
        <v>200</v>
      </c>
      <c r="D913" s="1" t="s">
        <v>777</v>
      </c>
      <c r="E913" s="1">
        <v>16</v>
      </c>
      <c r="F913" s="3">
        <v>634</v>
      </c>
      <c r="G913" s="1">
        <v>6</v>
      </c>
      <c r="H913" s="1" t="s">
        <v>1981</v>
      </c>
      <c r="I913" s="1" t="s">
        <v>425</v>
      </c>
      <c r="J913" s="1" t="s">
        <v>16</v>
      </c>
      <c r="K913" s="1" t="s">
        <v>1815</v>
      </c>
      <c r="L913" s="1" t="s">
        <v>357</v>
      </c>
      <c r="M913">
        <f t="shared" si="98"/>
        <v>200</v>
      </c>
      <c r="N913" t="str">
        <f t="shared" si="99"/>
        <v>1953-09-06</v>
      </c>
      <c r="O913">
        <f t="shared" si="100"/>
        <v>59</v>
      </c>
      <c r="P913" t="str">
        <f t="shared" si="101"/>
        <v>kobieta</v>
      </c>
      <c r="Q913">
        <f t="shared" si="102"/>
        <v>54</v>
      </c>
      <c r="R913">
        <f t="shared" si="103"/>
        <v>48</v>
      </c>
      <c r="S913">
        <f t="shared" ca="1" si="104"/>
        <v>0</v>
      </c>
    </row>
    <row r="914" spans="1:19">
      <c r="A914" s="1" t="s">
        <v>19</v>
      </c>
      <c r="B914" s="2">
        <v>215.24</v>
      </c>
      <c r="C914" s="1">
        <v>215.24</v>
      </c>
      <c r="D914" s="1" t="s">
        <v>701</v>
      </c>
      <c r="E914" s="1">
        <v>16</v>
      </c>
      <c r="F914" s="3">
        <v>1045</v>
      </c>
      <c r="G914" s="1">
        <v>6</v>
      </c>
      <c r="H914" s="1" t="s">
        <v>1982</v>
      </c>
      <c r="I914" s="1" t="s">
        <v>703</v>
      </c>
      <c r="J914" s="1" t="s">
        <v>16</v>
      </c>
      <c r="K914" s="1" t="s">
        <v>1815</v>
      </c>
      <c r="L914" s="1" t="s">
        <v>357</v>
      </c>
      <c r="M914">
        <f t="shared" si="98"/>
        <v>215.24</v>
      </c>
      <c r="N914" t="str">
        <f t="shared" si="99"/>
        <v>1961-06-04</v>
      </c>
      <c r="O914">
        <f t="shared" si="100"/>
        <v>51</v>
      </c>
      <c r="P914" t="str">
        <f t="shared" si="101"/>
        <v>mężczyzna</v>
      </c>
      <c r="Q914">
        <f t="shared" si="102"/>
        <v>202</v>
      </c>
      <c r="R914">
        <f t="shared" si="103"/>
        <v>48</v>
      </c>
      <c r="S914">
        <f t="shared" ca="1" si="104"/>
        <v>0</v>
      </c>
    </row>
    <row r="915" spans="1:19">
      <c r="A915" s="1" t="s">
        <v>19</v>
      </c>
      <c r="B915" s="2">
        <v>400</v>
      </c>
      <c r="C915" s="1">
        <v>400</v>
      </c>
      <c r="D915" s="1" t="s">
        <v>828</v>
      </c>
      <c r="E915" s="1">
        <v>13</v>
      </c>
      <c r="F915" s="3">
        <v>1500</v>
      </c>
      <c r="G915" s="1">
        <v>3</v>
      </c>
      <c r="H915" s="1" t="s">
        <v>1983</v>
      </c>
      <c r="I915" s="1" t="s">
        <v>830</v>
      </c>
      <c r="J915" s="1" t="s">
        <v>16</v>
      </c>
      <c r="K915" s="1" t="s">
        <v>1815</v>
      </c>
      <c r="L915" s="1" t="s">
        <v>357</v>
      </c>
      <c r="M915">
        <f t="shared" si="98"/>
        <v>400</v>
      </c>
      <c r="N915" t="str">
        <f t="shared" si="99"/>
        <v>1951-06-24</v>
      </c>
      <c r="O915">
        <f t="shared" si="100"/>
        <v>61</v>
      </c>
      <c r="P915" t="str">
        <f t="shared" si="101"/>
        <v>kobieta</v>
      </c>
      <c r="Q915">
        <f t="shared" si="102"/>
        <v>63</v>
      </c>
      <c r="R915">
        <f t="shared" si="103"/>
        <v>48</v>
      </c>
      <c r="S915">
        <f t="shared" ca="1" si="104"/>
        <v>0</v>
      </c>
    </row>
    <row r="916" spans="1:19">
      <c r="A916" s="1" t="s">
        <v>19</v>
      </c>
      <c r="B916" s="2">
        <v>397.15</v>
      </c>
      <c r="C916" s="1">
        <v>397.15</v>
      </c>
      <c r="D916" s="1" t="s">
        <v>853</v>
      </c>
      <c r="E916" s="1">
        <v>16</v>
      </c>
      <c r="F916" s="3">
        <v>2300</v>
      </c>
      <c r="G916" s="1">
        <v>8</v>
      </c>
      <c r="H916" s="1" t="s">
        <v>1984</v>
      </c>
      <c r="I916" s="1" t="s">
        <v>855</v>
      </c>
      <c r="J916" s="1" t="s">
        <v>16</v>
      </c>
      <c r="K916" s="1" t="s">
        <v>1815</v>
      </c>
      <c r="L916" s="1" t="s">
        <v>1956</v>
      </c>
      <c r="M916">
        <f t="shared" si="98"/>
        <v>397.15</v>
      </c>
      <c r="N916" t="str">
        <f t="shared" si="99"/>
        <v>1956-06-30</v>
      </c>
      <c r="O916">
        <f t="shared" si="100"/>
        <v>56</v>
      </c>
      <c r="P916" t="str">
        <f t="shared" si="101"/>
        <v>kobieta</v>
      </c>
      <c r="Q916">
        <f t="shared" si="102"/>
        <v>66</v>
      </c>
      <c r="R916">
        <f t="shared" si="103"/>
        <v>48</v>
      </c>
      <c r="S916">
        <f t="shared" ca="1" si="104"/>
        <v>2</v>
      </c>
    </row>
    <row r="917" spans="1:19">
      <c r="A917" s="1" t="s">
        <v>12</v>
      </c>
      <c r="B917" s="2">
        <v>200</v>
      </c>
      <c r="C917" s="1">
        <v>200</v>
      </c>
      <c r="D917" s="1" t="s">
        <v>853</v>
      </c>
      <c r="E917" s="1">
        <v>16</v>
      </c>
      <c r="F917" s="3">
        <v>2300</v>
      </c>
      <c r="G917" s="1">
        <v>1</v>
      </c>
      <c r="H917" s="1" t="s">
        <v>1985</v>
      </c>
      <c r="I917" s="1" t="s">
        <v>855</v>
      </c>
      <c r="J917" s="1" t="s">
        <v>16</v>
      </c>
      <c r="K917" s="1" t="s">
        <v>1815</v>
      </c>
      <c r="L917" s="1" t="s">
        <v>1956</v>
      </c>
      <c r="M917">
        <f t="shared" si="98"/>
        <v>200</v>
      </c>
      <c r="N917" t="str">
        <f t="shared" si="99"/>
        <v>1956-06-30</v>
      </c>
      <c r="O917">
        <f t="shared" si="100"/>
        <v>56</v>
      </c>
      <c r="P917" t="str">
        <f t="shared" si="101"/>
        <v>kobieta</v>
      </c>
      <c r="Q917">
        <f t="shared" si="102"/>
        <v>66</v>
      </c>
      <c r="R917">
        <f t="shared" si="103"/>
        <v>48</v>
      </c>
      <c r="S917">
        <f t="shared" ca="1" si="104"/>
        <v>2</v>
      </c>
    </row>
    <row r="918" spans="1:19">
      <c r="A918" s="1" t="s">
        <v>12</v>
      </c>
      <c r="B918" s="2">
        <v>497.15</v>
      </c>
      <c r="C918" s="1">
        <v>497.15</v>
      </c>
      <c r="D918" s="1" t="s">
        <v>826</v>
      </c>
      <c r="E918" s="1">
        <v>16</v>
      </c>
      <c r="F918" s="3">
        <v>2150</v>
      </c>
      <c r="G918" s="1">
        <v>1</v>
      </c>
      <c r="H918" s="1" t="s">
        <v>1986</v>
      </c>
      <c r="I918" s="1" t="s">
        <v>474</v>
      </c>
      <c r="J918" s="1" t="s">
        <v>16</v>
      </c>
      <c r="K918" s="1" t="s">
        <v>1815</v>
      </c>
      <c r="L918" s="1" t="s">
        <v>1810</v>
      </c>
      <c r="M918">
        <f t="shared" si="98"/>
        <v>497.15</v>
      </c>
      <c r="N918" t="str">
        <f t="shared" si="99"/>
        <v>1961-07-18</v>
      </c>
      <c r="O918">
        <f t="shared" si="100"/>
        <v>51</v>
      </c>
      <c r="P918" t="str">
        <f t="shared" si="101"/>
        <v>mężczyzna</v>
      </c>
      <c r="Q918">
        <f t="shared" si="102"/>
        <v>84</v>
      </c>
      <c r="R918">
        <f t="shared" si="103"/>
        <v>48</v>
      </c>
      <c r="S918">
        <f t="shared" ca="1" si="104"/>
        <v>1</v>
      </c>
    </row>
    <row r="919" spans="1:19">
      <c r="A919" s="1" t="s">
        <v>19</v>
      </c>
      <c r="B919" s="2">
        <v>1500</v>
      </c>
      <c r="C919" s="1">
        <v>1500</v>
      </c>
      <c r="D919" s="1" t="s">
        <v>1209</v>
      </c>
      <c r="E919" s="1">
        <v>98</v>
      </c>
      <c r="F919" s="3">
        <v>3000</v>
      </c>
      <c r="G919" s="1">
        <v>0</v>
      </c>
      <c r="H919" s="1" t="s">
        <v>1987</v>
      </c>
      <c r="I919" s="1" t="s">
        <v>1211</v>
      </c>
      <c r="J919" s="1" t="s">
        <v>16</v>
      </c>
      <c r="K919" s="1" t="s">
        <v>1815</v>
      </c>
      <c r="L919" s="1" t="s">
        <v>1988</v>
      </c>
      <c r="M919">
        <f t="shared" si="98"/>
        <v>1500</v>
      </c>
      <c r="N919" t="str">
        <f t="shared" si="99"/>
        <v>1954-03-28</v>
      </c>
      <c r="O919">
        <f t="shared" si="100"/>
        <v>58</v>
      </c>
      <c r="P919" t="str">
        <f t="shared" si="101"/>
        <v>mężczyzna</v>
      </c>
      <c r="Q919">
        <f t="shared" si="102"/>
        <v>72</v>
      </c>
      <c r="R919">
        <f t="shared" si="103"/>
        <v>48</v>
      </c>
      <c r="S919">
        <f t="shared" ca="1" si="104"/>
        <v>7</v>
      </c>
    </row>
    <row r="920" spans="1:19">
      <c r="A920" s="1" t="s">
        <v>19</v>
      </c>
      <c r="B920" s="2">
        <v>741.52</v>
      </c>
      <c r="C920" s="1">
        <v>741.52</v>
      </c>
      <c r="D920" s="1" t="s">
        <v>566</v>
      </c>
      <c r="E920" s="1">
        <v>11</v>
      </c>
      <c r="F920" s="3">
        <v>2200</v>
      </c>
      <c r="G920" s="1">
        <v>3</v>
      </c>
      <c r="H920" s="1" t="s">
        <v>1989</v>
      </c>
      <c r="I920" s="1" t="s">
        <v>34</v>
      </c>
      <c r="J920" s="1" t="s">
        <v>16</v>
      </c>
      <c r="K920" s="1" t="s">
        <v>1815</v>
      </c>
      <c r="L920" s="1" t="s">
        <v>357</v>
      </c>
      <c r="M920">
        <f t="shared" si="98"/>
        <v>741.52</v>
      </c>
      <c r="N920" t="str">
        <f t="shared" si="99"/>
        <v>1978-01-28</v>
      </c>
      <c r="O920">
        <f t="shared" si="100"/>
        <v>34</v>
      </c>
      <c r="P920" t="str">
        <f t="shared" si="101"/>
        <v>kobieta</v>
      </c>
      <c r="Q920">
        <f t="shared" si="102"/>
        <v>40</v>
      </c>
      <c r="R920">
        <f t="shared" si="103"/>
        <v>48</v>
      </c>
      <c r="S920">
        <f t="shared" ca="1" si="104"/>
        <v>0</v>
      </c>
    </row>
    <row r="921" spans="1:19">
      <c r="A921" s="1" t="s">
        <v>19</v>
      </c>
      <c r="B921" s="2">
        <v>200</v>
      </c>
      <c r="C921" s="1">
        <v>200</v>
      </c>
      <c r="D921" s="1" t="s">
        <v>727</v>
      </c>
      <c r="E921" s="1">
        <v>12</v>
      </c>
      <c r="F921" s="3">
        <v>980</v>
      </c>
      <c r="G921" s="1">
        <v>7</v>
      </c>
      <c r="H921" s="1" t="s">
        <v>1990</v>
      </c>
      <c r="I921" s="1" t="s">
        <v>729</v>
      </c>
      <c r="J921" s="1" t="s">
        <v>730</v>
      </c>
      <c r="K921" s="1" t="s">
        <v>1815</v>
      </c>
      <c r="L921" s="1" t="s">
        <v>1960</v>
      </c>
      <c r="M921">
        <f t="shared" si="98"/>
        <v>200</v>
      </c>
      <c r="N921" t="str">
        <f t="shared" si="99"/>
        <v>1980-11-12</v>
      </c>
      <c r="O921">
        <f t="shared" si="100"/>
        <v>32</v>
      </c>
      <c r="P921" t="str">
        <f t="shared" si="101"/>
        <v>kobieta</v>
      </c>
      <c r="Q921">
        <f t="shared" si="102"/>
        <v>13</v>
      </c>
      <c r="R921">
        <f t="shared" si="103"/>
        <v>2</v>
      </c>
      <c r="S921">
        <f t="shared" ca="1" si="104"/>
        <v>9</v>
      </c>
    </row>
    <row r="922" spans="1:19">
      <c r="A922" s="1" t="s">
        <v>19</v>
      </c>
      <c r="B922" s="2">
        <v>600</v>
      </c>
      <c r="C922" s="1">
        <v>600</v>
      </c>
      <c r="D922" s="1" t="s">
        <v>615</v>
      </c>
      <c r="E922" s="1">
        <v>11</v>
      </c>
      <c r="F922" s="3">
        <v>2400</v>
      </c>
      <c r="G922" s="1">
        <v>6</v>
      </c>
      <c r="H922" s="1" t="s">
        <v>1991</v>
      </c>
      <c r="I922" s="1" t="s">
        <v>617</v>
      </c>
      <c r="J922" s="1" t="s">
        <v>16</v>
      </c>
      <c r="K922" s="1" t="s">
        <v>1815</v>
      </c>
      <c r="L922" s="1" t="s">
        <v>1992</v>
      </c>
      <c r="M922">
        <f t="shared" si="98"/>
        <v>600</v>
      </c>
      <c r="N922" t="str">
        <f t="shared" si="99"/>
        <v>1976-01-11</v>
      </c>
      <c r="O922">
        <f t="shared" si="100"/>
        <v>36</v>
      </c>
      <c r="P922" t="str">
        <f t="shared" si="101"/>
        <v>kobieta</v>
      </c>
      <c r="Q922">
        <f t="shared" si="102"/>
        <v>116</v>
      </c>
      <c r="R922">
        <f t="shared" si="103"/>
        <v>48</v>
      </c>
      <c r="S922">
        <f t="shared" ca="1" si="104"/>
        <v>8</v>
      </c>
    </row>
    <row r="923" spans="1:19">
      <c r="A923" s="1" t="s">
        <v>24</v>
      </c>
      <c r="B923" s="2">
        <v>400</v>
      </c>
      <c r="C923" s="1">
        <v>0</v>
      </c>
      <c r="D923" s="1" t="s">
        <v>1993</v>
      </c>
      <c r="E923" s="1">
        <v>11</v>
      </c>
      <c r="F923" s="3">
        <v>1300</v>
      </c>
      <c r="G923" s="1">
        <v>0</v>
      </c>
      <c r="H923" s="1" t="s">
        <v>1994</v>
      </c>
      <c r="I923" s="1" t="s">
        <v>1995</v>
      </c>
      <c r="J923" s="1" t="s">
        <v>16</v>
      </c>
      <c r="K923" s="1" t="s">
        <v>16</v>
      </c>
      <c r="L923" s="1" t="s">
        <v>28</v>
      </c>
      <c r="M923">
        <f t="shared" si="98"/>
        <v>400</v>
      </c>
      <c r="N923" t="str">
        <f t="shared" si="99"/>
        <v>1977-12-22</v>
      </c>
      <c r="O923">
        <f t="shared" si="100"/>
        <v>35</v>
      </c>
      <c r="P923" t="str">
        <f t="shared" si="101"/>
        <v>kobieta</v>
      </c>
      <c r="Q923">
        <f t="shared" si="102"/>
        <v>232</v>
      </c>
      <c r="R923">
        <f t="shared" si="103"/>
        <v>48</v>
      </c>
      <c r="S923">
        <f t="shared" ca="1" si="104"/>
        <v>0</v>
      </c>
    </row>
    <row r="924" spans="1:19">
      <c r="A924" s="1" t="s">
        <v>19</v>
      </c>
      <c r="B924" s="2">
        <v>500</v>
      </c>
      <c r="C924" s="1">
        <v>500</v>
      </c>
      <c r="D924" s="1" t="s">
        <v>1551</v>
      </c>
      <c r="E924" s="1">
        <v>13</v>
      </c>
      <c r="F924" s="3">
        <v>1900</v>
      </c>
      <c r="G924" s="1">
        <v>1</v>
      </c>
      <c r="H924" s="1" t="s">
        <v>1996</v>
      </c>
      <c r="I924" s="1" t="s">
        <v>1553</v>
      </c>
      <c r="J924" s="1" t="s">
        <v>16</v>
      </c>
      <c r="K924" s="1" t="s">
        <v>1997</v>
      </c>
      <c r="L924" s="1" t="s">
        <v>1864</v>
      </c>
      <c r="M924">
        <f t="shared" si="98"/>
        <v>500</v>
      </c>
      <c r="N924" t="str">
        <f t="shared" si="99"/>
        <v>1949-05-02</v>
      </c>
      <c r="O924">
        <f t="shared" si="100"/>
        <v>63</v>
      </c>
      <c r="P924" t="str">
        <f t="shared" si="101"/>
        <v>kobieta</v>
      </c>
      <c r="Q924">
        <f t="shared" si="102"/>
        <v>91</v>
      </c>
      <c r="R924">
        <f t="shared" si="103"/>
        <v>48</v>
      </c>
      <c r="S924">
        <f t="shared" ca="1" si="104"/>
        <v>4</v>
      </c>
    </row>
    <row r="925" spans="1:19">
      <c r="A925" s="1" t="s">
        <v>24</v>
      </c>
      <c r="B925" s="2">
        <v>500</v>
      </c>
      <c r="C925" s="1">
        <v>0</v>
      </c>
      <c r="D925" s="1" t="s">
        <v>1998</v>
      </c>
      <c r="E925" s="1">
        <v>13</v>
      </c>
      <c r="F925" s="3">
        <v>2800</v>
      </c>
      <c r="G925" s="1">
        <v>0</v>
      </c>
      <c r="H925" s="1" t="s">
        <v>1999</v>
      </c>
      <c r="I925" s="1" t="s">
        <v>1137</v>
      </c>
      <c r="J925" s="1" t="s">
        <v>16</v>
      </c>
      <c r="K925" s="1" t="s">
        <v>16</v>
      </c>
      <c r="L925" s="1" t="s">
        <v>28</v>
      </c>
      <c r="M925">
        <f t="shared" si="98"/>
        <v>500</v>
      </c>
      <c r="N925" t="str">
        <f t="shared" si="99"/>
        <v>1947-01-20</v>
      </c>
      <c r="O925">
        <f t="shared" si="100"/>
        <v>65</v>
      </c>
      <c r="P925" t="str">
        <f t="shared" si="101"/>
        <v>kobieta</v>
      </c>
      <c r="Q925">
        <f t="shared" si="102"/>
        <v>120</v>
      </c>
      <c r="R925">
        <f t="shared" si="103"/>
        <v>48</v>
      </c>
      <c r="S925">
        <f t="shared" ca="1" si="104"/>
        <v>0</v>
      </c>
    </row>
    <row r="926" spans="1:19">
      <c r="A926" s="1" t="s">
        <v>19</v>
      </c>
      <c r="B926" s="2">
        <v>300</v>
      </c>
      <c r="C926" s="1">
        <v>300</v>
      </c>
      <c r="D926" s="1" t="s">
        <v>420</v>
      </c>
      <c r="E926" s="1">
        <v>13</v>
      </c>
      <c r="F926" s="3">
        <v>714</v>
      </c>
      <c r="G926" s="1">
        <v>0</v>
      </c>
      <c r="H926" s="1" t="s">
        <v>2000</v>
      </c>
      <c r="I926" s="1" t="s">
        <v>422</v>
      </c>
      <c r="J926" s="1" t="s">
        <v>16</v>
      </c>
      <c r="K926" s="1" t="s">
        <v>1997</v>
      </c>
      <c r="L926" s="1" t="s">
        <v>1810</v>
      </c>
      <c r="M926">
        <f t="shared" si="98"/>
        <v>300</v>
      </c>
      <c r="N926" t="str">
        <f t="shared" si="99"/>
        <v>1949-07-16</v>
      </c>
      <c r="O926">
        <f t="shared" si="100"/>
        <v>63</v>
      </c>
      <c r="P926" t="str">
        <f t="shared" si="101"/>
        <v>kobieta</v>
      </c>
      <c r="Q926">
        <f t="shared" si="102"/>
        <v>225</v>
      </c>
      <c r="R926">
        <f t="shared" si="103"/>
        <v>48</v>
      </c>
      <c r="S926">
        <f t="shared" ca="1" si="104"/>
        <v>0</v>
      </c>
    </row>
    <row r="927" spans="1:19">
      <c r="A927" s="1" t="s">
        <v>19</v>
      </c>
      <c r="B927" s="2">
        <v>254.98</v>
      </c>
      <c r="C927" s="1">
        <v>254.98</v>
      </c>
      <c r="D927" s="1" t="s">
        <v>562</v>
      </c>
      <c r="E927" s="1">
        <v>16</v>
      </c>
      <c r="F927" s="3">
        <v>634.64</v>
      </c>
      <c r="G927" s="1">
        <v>6</v>
      </c>
      <c r="H927" s="1" t="s">
        <v>2001</v>
      </c>
      <c r="I927" s="1" t="s">
        <v>564</v>
      </c>
      <c r="J927" s="1" t="s">
        <v>16</v>
      </c>
      <c r="K927" s="1" t="s">
        <v>1997</v>
      </c>
      <c r="L927" s="1" t="s">
        <v>1960</v>
      </c>
      <c r="M927">
        <f t="shared" si="98"/>
        <v>254.98</v>
      </c>
      <c r="N927" t="str">
        <f t="shared" si="99"/>
        <v>1954-06-09</v>
      </c>
      <c r="O927">
        <f t="shared" si="100"/>
        <v>58</v>
      </c>
      <c r="P927" t="str">
        <f t="shared" si="101"/>
        <v>kobieta</v>
      </c>
      <c r="Q927">
        <f t="shared" si="102"/>
        <v>139</v>
      </c>
      <c r="R927">
        <f t="shared" si="103"/>
        <v>48</v>
      </c>
      <c r="S927">
        <f t="shared" ca="1" si="104"/>
        <v>8</v>
      </c>
    </row>
    <row r="928" spans="1:19">
      <c r="A928" s="1" t="s">
        <v>19</v>
      </c>
      <c r="B928" s="2">
        <v>300</v>
      </c>
      <c r="C928" s="1">
        <v>300</v>
      </c>
      <c r="D928" s="1" t="s">
        <v>843</v>
      </c>
      <c r="E928" s="1">
        <v>11</v>
      </c>
      <c r="F928" s="3">
        <v>2800</v>
      </c>
      <c r="G928" s="1">
        <v>2</v>
      </c>
      <c r="H928" s="1" t="s">
        <v>2002</v>
      </c>
      <c r="I928" s="1" t="s">
        <v>717</v>
      </c>
      <c r="J928" s="1" t="s">
        <v>16</v>
      </c>
      <c r="K928" s="1" t="s">
        <v>1997</v>
      </c>
      <c r="L928" s="1" t="s">
        <v>1810</v>
      </c>
      <c r="M928">
        <f t="shared" si="98"/>
        <v>300</v>
      </c>
      <c r="N928" t="str">
        <f t="shared" si="99"/>
        <v>1956-04-05</v>
      </c>
      <c r="O928">
        <f t="shared" si="100"/>
        <v>56</v>
      </c>
      <c r="P928" t="str">
        <f t="shared" si="101"/>
        <v>kobieta</v>
      </c>
      <c r="Q928">
        <f t="shared" si="102"/>
        <v>12</v>
      </c>
      <c r="R928">
        <f t="shared" si="103"/>
        <v>48</v>
      </c>
      <c r="S928">
        <f t="shared" ca="1" si="104"/>
        <v>0</v>
      </c>
    </row>
    <row r="929" spans="1:19">
      <c r="A929" s="1" t="s">
        <v>19</v>
      </c>
      <c r="B929" s="2">
        <v>300</v>
      </c>
      <c r="C929" s="1">
        <v>300</v>
      </c>
      <c r="D929" s="1" t="s">
        <v>2003</v>
      </c>
      <c r="E929" s="1">
        <v>11</v>
      </c>
      <c r="F929" s="3">
        <v>1187.06</v>
      </c>
      <c r="G929" s="1">
        <v>0</v>
      </c>
      <c r="H929" s="1" t="s">
        <v>2004</v>
      </c>
      <c r="I929" s="1" t="s">
        <v>2005</v>
      </c>
      <c r="J929" s="1" t="s">
        <v>16</v>
      </c>
      <c r="K929" s="1" t="s">
        <v>1997</v>
      </c>
      <c r="L929" s="1" t="s">
        <v>1810</v>
      </c>
      <c r="M929">
        <f t="shared" si="98"/>
        <v>300</v>
      </c>
      <c r="N929" t="str">
        <f t="shared" si="99"/>
        <v>1955-08-01</v>
      </c>
      <c r="O929">
        <f t="shared" si="100"/>
        <v>57</v>
      </c>
      <c r="P929" t="str">
        <f t="shared" si="101"/>
        <v>kobieta</v>
      </c>
      <c r="Q929">
        <f t="shared" si="102"/>
        <v>136</v>
      </c>
      <c r="R929">
        <f t="shared" si="103"/>
        <v>48</v>
      </c>
      <c r="S929">
        <f t="shared" ca="1" si="104"/>
        <v>0</v>
      </c>
    </row>
    <row r="930" spans="1:19">
      <c r="A930" s="1" t="s">
        <v>12</v>
      </c>
      <c r="B930" s="2">
        <v>600</v>
      </c>
      <c r="C930" s="1">
        <v>500</v>
      </c>
      <c r="D930" s="1" t="s">
        <v>1128</v>
      </c>
      <c r="E930" s="1">
        <v>98</v>
      </c>
      <c r="F930" s="3">
        <v>3014</v>
      </c>
      <c r="G930" s="1">
        <v>0</v>
      </c>
      <c r="H930" s="1" t="s">
        <v>2006</v>
      </c>
      <c r="I930" s="1" t="s">
        <v>1130</v>
      </c>
      <c r="J930" s="1" t="s">
        <v>16</v>
      </c>
      <c r="K930" s="1" t="s">
        <v>1997</v>
      </c>
      <c r="L930" s="1" t="s">
        <v>1864</v>
      </c>
      <c r="M930">
        <f t="shared" si="98"/>
        <v>500</v>
      </c>
      <c r="N930" t="str">
        <f t="shared" si="99"/>
        <v>1969-09-05</v>
      </c>
      <c r="O930">
        <f t="shared" si="100"/>
        <v>43</v>
      </c>
      <c r="P930" t="str">
        <f t="shared" si="101"/>
        <v>mężczyzna</v>
      </c>
      <c r="Q930">
        <f t="shared" si="102"/>
        <v>105</v>
      </c>
      <c r="R930">
        <f t="shared" si="103"/>
        <v>48</v>
      </c>
      <c r="S930">
        <f t="shared" ca="1" si="104"/>
        <v>4</v>
      </c>
    </row>
    <row r="931" spans="1:19">
      <c r="A931" s="1" t="s">
        <v>12</v>
      </c>
      <c r="B931" s="2">
        <v>200</v>
      </c>
      <c r="C931" s="1">
        <v>200</v>
      </c>
      <c r="D931" s="1" t="s">
        <v>813</v>
      </c>
      <c r="E931" s="1">
        <v>13</v>
      </c>
      <c r="F931" s="3">
        <v>803.86</v>
      </c>
      <c r="G931" s="1">
        <v>7</v>
      </c>
      <c r="H931" s="1" t="s">
        <v>2007</v>
      </c>
      <c r="I931" s="1" t="s">
        <v>815</v>
      </c>
      <c r="J931" s="1" t="s">
        <v>16</v>
      </c>
      <c r="K931" s="1" t="s">
        <v>2008</v>
      </c>
      <c r="L931" s="1" t="s">
        <v>1728</v>
      </c>
      <c r="M931">
        <f t="shared" si="98"/>
        <v>200</v>
      </c>
      <c r="N931" t="str">
        <f t="shared" si="99"/>
        <v>1943-01-28</v>
      </c>
      <c r="O931">
        <f t="shared" si="100"/>
        <v>69</v>
      </c>
      <c r="P931" t="str">
        <f t="shared" si="101"/>
        <v>kobieta</v>
      </c>
      <c r="Q931">
        <f t="shared" si="102"/>
        <v>161</v>
      </c>
      <c r="R931">
        <f t="shared" si="103"/>
        <v>48</v>
      </c>
      <c r="S931">
        <f t="shared" ca="1" si="104"/>
        <v>0</v>
      </c>
    </row>
    <row r="932" spans="1:19">
      <c r="A932" s="1" t="s">
        <v>19</v>
      </c>
      <c r="B932" s="2">
        <v>1000</v>
      </c>
      <c r="C932" s="1">
        <v>1000</v>
      </c>
      <c r="D932" s="1" t="s">
        <v>859</v>
      </c>
      <c r="E932" s="1">
        <v>98</v>
      </c>
      <c r="F932" s="3">
        <v>6000</v>
      </c>
      <c r="G932" s="1">
        <v>3</v>
      </c>
      <c r="H932" s="1" t="s">
        <v>2009</v>
      </c>
      <c r="I932" s="1" t="s">
        <v>435</v>
      </c>
      <c r="J932" s="1" t="s">
        <v>16</v>
      </c>
      <c r="K932" s="1" t="s">
        <v>2008</v>
      </c>
      <c r="L932" s="1" t="s">
        <v>1810</v>
      </c>
      <c r="M932">
        <f t="shared" si="98"/>
        <v>1000</v>
      </c>
      <c r="N932" t="str">
        <f t="shared" si="99"/>
        <v>1970-07-23</v>
      </c>
      <c r="O932">
        <f t="shared" si="100"/>
        <v>42</v>
      </c>
      <c r="P932" t="str">
        <f t="shared" si="101"/>
        <v>kobieta</v>
      </c>
      <c r="Q932">
        <f t="shared" si="102"/>
        <v>20</v>
      </c>
      <c r="R932">
        <f t="shared" si="103"/>
        <v>48</v>
      </c>
      <c r="S932">
        <f t="shared" ca="1" si="104"/>
        <v>0</v>
      </c>
    </row>
    <row r="933" spans="1:19">
      <c r="A933" s="1" t="s">
        <v>19</v>
      </c>
      <c r="B933" s="2">
        <v>200</v>
      </c>
      <c r="C933" s="1">
        <v>200</v>
      </c>
      <c r="D933" s="1" t="s">
        <v>886</v>
      </c>
      <c r="E933" s="1">
        <v>13</v>
      </c>
      <c r="F933" s="3">
        <v>1162</v>
      </c>
      <c r="G933" s="1">
        <v>7</v>
      </c>
      <c r="H933" s="1" t="s">
        <v>2010</v>
      </c>
      <c r="I933" s="1" t="s">
        <v>888</v>
      </c>
      <c r="J933" s="1" t="s">
        <v>16</v>
      </c>
      <c r="K933" s="1" t="s">
        <v>2008</v>
      </c>
      <c r="L933" s="1" t="s">
        <v>1956</v>
      </c>
      <c r="M933">
        <f t="shared" si="98"/>
        <v>200</v>
      </c>
      <c r="N933" t="str">
        <f t="shared" si="99"/>
        <v>1949-02-21</v>
      </c>
      <c r="O933">
        <f t="shared" si="100"/>
        <v>63</v>
      </c>
      <c r="P933" t="str">
        <f t="shared" si="101"/>
        <v>mężczyzna</v>
      </c>
      <c r="Q933">
        <f t="shared" si="102"/>
        <v>224</v>
      </c>
      <c r="R933">
        <f t="shared" si="103"/>
        <v>48</v>
      </c>
      <c r="S933">
        <f t="shared" ca="1" si="104"/>
        <v>0</v>
      </c>
    </row>
    <row r="934" spans="1:19">
      <c r="A934" s="1" t="s">
        <v>12</v>
      </c>
      <c r="B934" s="2">
        <v>252.16</v>
      </c>
      <c r="C934" s="1">
        <v>252.16</v>
      </c>
      <c r="D934" s="1" t="s">
        <v>774</v>
      </c>
      <c r="E934" s="1">
        <v>13</v>
      </c>
      <c r="F934" s="3">
        <v>1658</v>
      </c>
      <c r="G934" s="1">
        <v>7</v>
      </c>
      <c r="H934" s="1" t="s">
        <v>2011</v>
      </c>
      <c r="I934" s="1" t="s">
        <v>776</v>
      </c>
      <c r="J934" s="1" t="s">
        <v>16</v>
      </c>
      <c r="K934" s="1" t="s">
        <v>2008</v>
      </c>
      <c r="L934" s="1" t="s">
        <v>1956</v>
      </c>
      <c r="M934">
        <f t="shared" si="98"/>
        <v>252.16</v>
      </c>
      <c r="N934" t="str">
        <f t="shared" si="99"/>
        <v>1952-10-27</v>
      </c>
      <c r="O934">
        <f t="shared" si="100"/>
        <v>60</v>
      </c>
      <c r="P934" t="str">
        <f t="shared" si="101"/>
        <v>kobieta</v>
      </c>
      <c r="Q934">
        <f t="shared" si="102"/>
        <v>32</v>
      </c>
      <c r="R934">
        <f t="shared" si="103"/>
        <v>48</v>
      </c>
      <c r="S934">
        <f t="shared" ca="1" si="104"/>
        <v>0</v>
      </c>
    </row>
    <row r="935" spans="1:19">
      <c r="A935" s="1" t="s">
        <v>12</v>
      </c>
      <c r="B935" s="2">
        <v>900</v>
      </c>
      <c r="C935" s="1">
        <v>800</v>
      </c>
      <c r="D935" s="1" t="s">
        <v>878</v>
      </c>
      <c r="E935" s="1">
        <v>13</v>
      </c>
      <c r="F935" s="3">
        <v>3040</v>
      </c>
      <c r="G935" s="1">
        <v>0</v>
      </c>
      <c r="H935" s="1" t="s">
        <v>2012</v>
      </c>
      <c r="I935" s="1" t="s">
        <v>880</v>
      </c>
      <c r="J935" s="1" t="s">
        <v>16</v>
      </c>
      <c r="K935" s="1" t="s">
        <v>2008</v>
      </c>
      <c r="L935" s="1" t="s">
        <v>2013</v>
      </c>
      <c r="M935">
        <f t="shared" si="98"/>
        <v>800</v>
      </c>
      <c r="N935" t="str">
        <f t="shared" si="99"/>
        <v>1946-11-27</v>
      </c>
      <c r="O935">
        <f t="shared" si="100"/>
        <v>66</v>
      </c>
      <c r="P935" t="str">
        <f t="shared" si="101"/>
        <v>mężczyzna</v>
      </c>
      <c r="Q935">
        <f t="shared" si="102"/>
        <v>204</v>
      </c>
      <c r="R935">
        <f t="shared" si="103"/>
        <v>48</v>
      </c>
      <c r="S935">
        <f t="shared" ca="1" si="104"/>
        <v>1</v>
      </c>
    </row>
    <row r="936" spans="1:19">
      <c r="A936" s="1" t="s">
        <v>19</v>
      </c>
      <c r="B936" s="2">
        <v>400</v>
      </c>
      <c r="C936" s="1">
        <v>400</v>
      </c>
      <c r="D936" s="1" t="s">
        <v>868</v>
      </c>
      <c r="E936" s="1">
        <v>13</v>
      </c>
      <c r="F936" s="3">
        <v>1107</v>
      </c>
      <c r="G936" s="1">
        <v>1</v>
      </c>
      <c r="H936" s="1" t="s">
        <v>2014</v>
      </c>
      <c r="I936" s="1" t="s">
        <v>870</v>
      </c>
      <c r="J936" s="1" t="s">
        <v>16</v>
      </c>
      <c r="K936" s="1" t="s">
        <v>2008</v>
      </c>
      <c r="L936" s="1" t="s">
        <v>1864</v>
      </c>
      <c r="M936">
        <f t="shared" si="98"/>
        <v>400</v>
      </c>
      <c r="N936" t="str">
        <f t="shared" si="99"/>
        <v>1951-06-04</v>
      </c>
      <c r="O936">
        <f t="shared" si="100"/>
        <v>61</v>
      </c>
      <c r="P936" t="str">
        <f t="shared" si="101"/>
        <v>kobieta</v>
      </c>
      <c r="Q936">
        <f t="shared" si="102"/>
        <v>18</v>
      </c>
      <c r="R936">
        <f t="shared" si="103"/>
        <v>48</v>
      </c>
      <c r="S936">
        <f t="shared" ca="1" si="104"/>
        <v>3</v>
      </c>
    </row>
    <row r="937" spans="1:19">
      <c r="A937" s="1" t="s">
        <v>19</v>
      </c>
      <c r="B937" s="2">
        <v>800</v>
      </c>
      <c r="C937" s="1">
        <v>800</v>
      </c>
      <c r="D937" s="1" t="s">
        <v>823</v>
      </c>
      <c r="E937" s="1">
        <v>13</v>
      </c>
      <c r="F937" s="3">
        <v>3440</v>
      </c>
      <c r="G937" s="1">
        <v>7</v>
      </c>
      <c r="H937" s="1" t="s">
        <v>2015</v>
      </c>
      <c r="I937" s="1" t="s">
        <v>825</v>
      </c>
      <c r="J937" s="1" t="s">
        <v>16</v>
      </c>
      <c r="K937" s="1" t="s">
        <v>2008</v>
      </c>
      <c r="L937" s="1" t="s">
        <v>1956</v>
      </c>
      <c r="M937">
        <f t="shared" si="98"/>
        <v>800</v>
      </c>
      <c r="N937" t="str">
        <f t="shared" si="99"/>
        <v>1956-04-20</v>
      </c>
      <c r="O937">
        <f t="shared" si="100"/>
        <v>56</v>
      </c>
      <c r="P937" t="str">
        <f t="shared" si="101"/>
        <v>kobieta</v>
      </c>
      <c r="Q937">
        <f t="shared" si="102"/>
        <v>54</v>
      </c>
      <c r="R937">
        <f t="shared" si="103"/>
        <v>48</v>
      </c>
      <c r="S937">
        <f t="shared" ca="1" si="104"/>
        <v>0</v>
      </c>
    </row>
    <row r="938" spans="1:19">
      <c r="A938" s="1" t="s">
        <v>24</v>
      </c>
      <c r="B938" s="2">
        <v>300</v>
      </c>
      <c r="C938" s="1">
        <v>0</v>
      </c>
      <c r="D938" s="1" t="s">
        <v>2016</v>
      </c>
      <c r="E938" s="1">
        <v>11</v>
      </c>
      <c r="F938" s="3">
        <v>3000</v>
      </c>
      <c r="G938" s="1">
        <v>0</v>
      </c>
      <c r="H938" s="1" t="s">
        <v>2017</v>
      </c>
      <c r="I938" s="1" t="s">
        <v>2018</v>
      </c>
      <c r="J938" s="1" t="s">
        <v>16</v>
      </c>
      <c r="K938" s="1" t="s">
        <v>16</v>
      </c>
      <c r="L938" s="1" t="s">
        <v>28</v>
      </c>
      <c r="M938">
        <f t="shared" si="98"/>
        <v>300</v>
      </c>
      <c r="N938" t="str">
        <f t="shared" si="99"/>
        <v>1985-05-12</v>
      </c>
      <c r="O938">
        <f t="shared" si="100"/>
        <v>27</v>
      </c>
      <c r="P938" t="str">
        <f t="shared" si="101"/>
        <v>mężczyzna</v>
      </c>
      <c r="Q938">
        <f t="shared" si="102"/>
        <v>44</v>
      </c>
      <c r="R938">
        <f t="shared" si="103"/>
        <v>48</v>
      </c>
      <c r="S938">
        <f t="shared" ca="1" si="104"/>
        <v>0</v>
      </c>
    </row>
    <row r="939" spans="1:19">
      <c r="A939" s="1" t="s">
        <v>19</v>
      </c>
      <c r="B939" s="2">
        <v>200</v>
      </c>
      <c r="C939" s="1">
        <v>200</v>
      </c>
      <c r="D939" s="1" t="s">
        <v>52</v>
      </c>
      <c r="E939" s="1">
        <v>12</v>
      </c>
      <c r="F939" s="3">
        <v>990.34</v>
      </c>
      <c r="G939" s="1">
        <v>0</v>
      </c>
      <c r="H939" s="1" t="s">
        <v>2019</v>
      </c>
      <c r="I939" s="1" t="s">
        <v>54</v>
      </c>
      <c r="J939" s="1" t="s">
        <v>55</v>
      </c>
      <c r="K939" s="1" t="s">
        <v>2008</v>
      </c>
      <c r="L939" s="1" t="s">
        <v>1956</v>
      </c>
      <c r="M939">
        <f t="shared" si="98"/>
        <v>200</v>
      </c>
      <c r="N939" t="str">
        <f t="shared" si="99"/>
        <v>1965-07-22</v>
      </c>
      <c r="O939">
        <f t="shared" si="100"/>
        <v>47</v>
      </c>
      <c r="P939" t="str">
        <f t="shared" si="101"/>
        <v>kobieta</v>
      </c>
      <c r="Q939">
        <f t="shared" si="102"/>
        <v>59</v>
      </c>
      <c r="R939">
        <f t="shared" si="103"/>
        <v>13</v>
      </c>
      <c r="S939">
        <f t="shared" ca="1" si="104"/>
        <v>0</v>
      </c>
    </row>
    <row r="940" spans="1:19">
      <c r="A940" s="1" t="s">
        <v>19</v>
      </c>
      <c r="B940" s="2">
        <v>391.97</v>
      </c>
      <c r="C940" s="1">
        <v>391.97</v>
      </c>
      <c r="D940" s="1" t="s">
        <v>1400</v>
      </c>
      <c r="E940" s="1">
        <v>13</v>
      </c>
      <c r="F940" s="3">
        <v>1507</v>
      </c>
      <c r="G940" s="1">
        <v>1</v>
      </c>
      <c r="H940" s="1" t="s">
        <v>2020</v>
      </c>
      <c r="I940" s="1" t="s">
        <v>1402</v>
      </c>
      <c r="J940" s="1" t="s">
        <v>16</v>
      </c>
      <c r="K940" s="1" t="s">
        <v>2008</v>
      </c>
      <c r="L940" s="1" t="s">
        <v>1956</v>
      </c>
      <c r="M940">
        <f t="shared" si="98"/>
        <v>391.97</v>
      </c>
      <c r="N940" t="str">
        <f t="shared" si="99"/>
        <v>1947-06-22</v>
      </c>
      <c r="O940">
        <f t="shared" si="100"/>
        <v>65</v>
      </c>
      <c r="P940" t="str">
        <f t="shared" si="101"/>
        <v>kobieta</v>
      </c>
      <c r="Q940">
        <f t="shared" si="102"/>
        <v>62</v>
      </c>
      <c r="R940">
        <f t="shared" si="103"/>
        <v>48</v>
      </c>
      <c r="S940">
        <f t="shared" ca="1" si="104"/>
        <v>0</v>
      </c>
    </row>
    <row r="941" spans="1:19">
      <c r="A941" s="1" t="s">
        <v>19</v>
      </c>
      <c r="B941" s="2">
        <v>200</v>
      </c>
      <c r="C941" s="1">
        <v>200</v>
      </c>
      <c r="D941" s="1" t="s">
        <v>889</v>
      </c>
      <c r="E941" s="1">
        <v>13</v>
      </c>
      <c r="F941" s="3">
        <v>1635</v>
      </c>
      <c r="G941" s="1">
        <v>7</v>
      </c>
      <c r="H941" s="1" t="s">
        <v>2021</v>
      </c>
      <c r="I941" s="1" t="s">
        <v>891</v>
      </c>
      <c r="J941" s="1" t="s">
        <v>16</v>
      </c>
      <c r="K941" s="1" t="s">
        <v>2008</v>
      </c>
      <c r="L941" s="1" t="s">
        <v>1864</v>
      </c>
      <c r="M941">
        <f t="shared" si="98"/>
        <v>200</v>
      </c>
      <c r="N941" t="str">
        <f t="shared" si="99"/>
        <v>1951-06-12</v>
      </c>
      <c r="O941">
        <f t="shared" si="100"/>
        <v>61</v>
      </c>
      <c r="P941" t="str">
        <f t="shared" si="101"/>
        <v>kobieta</v>
      </c>
      <c r="Q941">
        <f t="shared" si="102"/>
        <v>123</v>
      </c>
      <c r="R941">
        <f t="shared" si="103"/>
        <v>48</v>
      </c>
      <c r="S941">
        <f t="shared" ca="1" si="104"/>
        <v>3</v>
      </c>
    </row>
    <row r="942" spans="1:19">
      <c r="A942" s="1" t="s">
        <v>19</v>
      </c>
      <c r="B942" s="2">
        <v>392.43</v>
      </c>
      <c r="C942" s="1">
        <v>392.43</v>
      </c>
      <c r="D942" s="1" t="s">
        <v>429</v>
      </c>
      <c r="E942" s="1">
        <v>12</v>
      </c>
      <c r="F942" s="3">
        <v>1963.88</v>
      </c>
      <c r="G942" s="1">
        <v>6</v>
      </c>
      <c r="H942" s="1" t="s">
        <v>2022</v>
      </c>
      <c r="I942" s="1" t="s">
        <v>431</v>
      </c>
      <c r="J942" s="1" t="s">
        <v>2023</v>
      </c>
      <c r="K942" s="1" t="s">
        <v>2008</v>
      </c>
      <c r="L942" s="1" t="s">
        <v>1528</v>
      </c>
      <c r="M942">
        <f t="shared" si="98"/>
        <v>392.43</v>
      </c>
      <c r="N942" t="str">
        <f t="shared" si="99"/>
        <v>1967-05-18</v>
      </c>
      <c r="O942">
        <f t="shared" si="100"/>
        <v>45</v>
      </c>
      <c r="P942" t="str">
        <f t="shared" si="101"/>
        <v>mężczyzna</v>
      </c>
      <c r="Q942">
        <f t="shared" si="102"/>
        <v>9</v>
      </c>
      <c r="R942">
        <f t="shared" si="103"/>
        <v>11</v>
      </c>
      <c r="S942">
        <f t="shared" ca="1" si="104"/>
        <v>0</v>
      </c>
    </row>
    <row r="943" spans="1:19">
      <c r="A943" s="1" t="s">
        <v>12</v>
      </c>
      <c r="B943" s="2">
        <v>250</v>
      </c>
      <c r="C943" s="1">
        <v>250</v>
      </c>
      <c r="D943" s="1" t="s">
        <v>2024</v>
      </c>
      <c r="E943" s="1">
        <v>12</v>
      </c>
      <c r="F943" s="3">
        <v>1637</v>
      </c>
      <c r="G943" s="1">
        <v>0</v>
      </c>
      <c r="H943" s="1" t="s">
        <v>2025</v>
      </c>
      <c r="I943" s="1" t="s">
        <v>2026</v>
      </c>
      <c r="J943" s="1" t="s">
        <v>2027</v>
      </c>
      <c r="K943" s="1" t="s">
        <v>2008</v>
      </c>
      <c r="L943" s="1" t="s">
        <v>1425</v>
      </c>
      <c r="M943">
        <f t="shared" si="98"/>
        <v>250</v>
      </c>
      <c r="N943" t="str">
        <f t="shared" si="99"/>
        <v>1981-04-26</v>
      </c>
      <c r="O943">
        <f t="shared" si="100"/>
        <v>31</v>
      </c>
      <c r="P943" t="str">
        <f t="shared" si="101"/>
        <v>mężczyzna</v>
      </c>
      <c r="Q943">
        <f t="shared" si="102"/>
        <v>55</v>
      </c>
      <c r="R943">
        <f t="shared" si="103"/>
        <v>48</v>
      </c>
      <c r="S943">
        <f t="shared" ca="1" si="104"/>
        <v>4</v>
      </c>
    </row>
    <row r="944" spans="1:19">
      <c r="A944" s="1" t="s">
        <v>24</v>
      </c>
      <c r="B944" s="2">
        <v>200</v>
      </c>
      <c r="C944" s="1">
        <v>0</v>
      </c>
      <c r="D944" s="1" t="s">
        <v>2028</v>
      </c>
      <c r="E944" s="1">
        <v>12</v>
      </c>
      <c r="F944" s="3">
        <v>900</v>
      </c>
      <c r="G944" s="1">
        <v>0</v>
      </c>
      <c r="H944" s="1" t="s">
        <v>2029</v>
      </c>
      <c r="I944" s="1" t="s">
        <v>2030</v>
      </c>
      <c r="J944" s="1" t="s">
        <v>2031</v>
      </c>
      <c r="K944" s="1" t="s">
        <v>16</v>
      </c>
      <c r="L944" s="1" t="s">
        <v>28</v>
      </c>
      <c r="M944">
        <f t="shared" si="98"/>
        <v>200</v>
      </c>
      <c r="N944" t="str">
        <f t="shared" si="99"/>
        <v>1988-01-02</v>
      </c>
      <c r="O944">
        <f t="shared" si="100"/>
        <v>24</v>
      </c>
      <c r="P944" t="str">
        <f t="shared" si="101"/>
        <v>kobieta</v>
      </c>
      <c r="Q944">
        <f t="shared" si="102"/>
        <v>6</v>
      </c>
      <c r="R944">
        <f t="shared" si="103"/>
        <v>12</v>
      </c>
      <c r="S944">
        <f t="shared" ca="1" si="104"/>
        <v>0</v>
      </c>
    </row>
    <row r="945" spans="1:19">
      <c r="A945" s="1" t="s">
        <v>19</v>
      </c>
      <c r="B945" s="2">
        <v>276.26</v>
      </c>
      <c r="C945" s="1">
        <v>276.26</v>
      </c>
      <c r="D945" s="1" t="s">
        <v>681</v>
      </c>
      <c r="E945" s="1">
        <v>11</v>
      </c>
      <c r="F945" s="3">
        <v>2100</v>
      </c>
      <c r="G945" s="1">
        <v>4</v>
      </c>
      <c r="H945" s="1" t="s">
        <v>2032</v>
      </c>
      <c r="I945" s="1" t="s">
        <v>683</v>
      </c>
      <c r="J945" s="1" t="s">
        <v>16</v>
      </c>
      <c r="K945" s="1" t="s">
        <v>2008</v>
      </c>
      <c r="L945" s="1" t="s">
        <v>1785</v>
      </c>
      <c r="M945">
        <f t="shared" si="98"/>
        <v>276.26</v>
      </c>
      <c r="N945" t="str">
        <f t="shared" si="99"/>
        <v>1957-01-09</v>
      </c>
      <c r="O945">
        <f t="shared" si="100"/>
        <v>55</v>
      </c>
      <c r="P945" t="str">
        <f t="shared" si="101"/>
        <v>mężczyzna</v>
      </c>
      <c r="Q945">
        <f t="shared" si="102"/>
        <v>41</v>
      </c>
      <c r="R945">
        <f t="shared" si="103"/>
        <v>48</v>
      </c>
      <c r="S945">
        <f t="shared" ca="1" si="104"/>
        <v>0</v>
      </c>
    </row>
    <row r="946" spans="1:19">
      <c r="A946" s="1" t="s">
        <v>19</v>
      </c>
      <c r="B946" s="2">
        <v>800</v>
      </c>
      <c r="C946" s="1">
        <v>800</v>
      </c>
      <c r="D946" s="1" t="s">
        <v>911</v>
      </c>
      <c r="E946" s="1">
        <v>13</v>
      </c>
      <c r="F946" s="3">
        <v>2120</v>
      </c>
      <c r="G946" s="1">
        <v>2</v>
      </c>
      <c r="H946" s="1" t="s">
        <v>2033</v>
      </c>
      <c r="I946" s="1" t="s">
        <v>913</v>
      </c>
      <c r="J946" s="1" t="s">
        <v>16</v>
      </c>
      <c r="K946" s="1" t="s">
        <v>2034</v>
      </c>
      <c r="L946" s="1" t="s">
        <v>2013</v>
      </c>
      <c r="M946">
        <f t="shared" si="98"/>
        <v>800</v>
      </c>
      <c r="N946" t="str">
        <f t="shared" si="99"/>
        <v>1943-11-21</v>
      </c>
      <c r="O946">
        <f t="shared" si="100"/>
        <v>69</v>
      </c>
      <c r="P946" t="str">
        <f t="shared" si="101"/>
        <v>kobieta</v>
      </c>
      <c r="Q946">
        <f t="shared" si="102"/>
        <v>122</v>
      </c>
      <c r="R946">
        <f t="shared" si="103"/>
        <v>48</v>
      </c>
      <c r="S946">
        <f t="shared" ca="1" si="104"/>
        <v>0</v>
      </c>
    </row>
    <row r="947" spans="1:19">
      <c r="A947" s="1" t="s">
        <v>19</v>
      </c>
      <c r="B947" s="2">
        <v>300</v>
      </c>
      <c r="C947" s="1">
        <v>300</v>
      </c>
      <c r="D947" s="1" t="s">
        <v>908</v>
      </c>
      <c r="E947" s="1">
        <v>16</v>
      </c>
      <c r="F947" s="3">
        <v>1500</v>
      </c>
      <c r="G947" s="1">
        <v>2</v>
      </c>
      <c r="H947" s="1" t="s">
        <v>2035</v>
      </c>
      <c r="I947" s="1" t="s">
        <v>910</v>
      </c>
      <c r="J947" s="1" t="s">
        <v>16</v>
      </c>
      <c r="K947" s="1" t="s">
        <v>2034</v>
      </c>
      <c r="L947" s="1" t="s">
        <v>1960</v>
      </c>
      <c r="M947">
        <f t="shared" si="98"/>
        <v>300</v>
      </c>
      <c r="N947" t="str">
        <f t="shared" si="99"/>
        <v>1957-12-30</v>
      </c>
      <c r="O947">
        <f t="shared" si="100"/>
        <v>55</v>
      </c>
      <c r="P947" t="str">
        <f t="shared" si="101"/>
        <v>kobieta</v>
      </c>
      <c r="Q947">
        <f t="shared" si="102"/>
        <v>5</v>
      </c>
      <c r="R947">
        <f t="shared" si="103"/>
        <v>48</v>
      </c>
      <c r="S947">
        <f t="shared" ca="1" si="104"/>
        <v>6</v>
      </c>
    </row>
    <row r="948" spans="1:19">
      <c r="A948" s="1" t="s">
        <v>19</v>
      </c>
      <c r="B948" s="2">
        <v>600</v>
      </c>
      <c r="C948" s="1">
        <v>500</v>
      </c>
      <c r="D948" s="1" t="s">
        <v>914</v>
      </c>
      <c r="E948" s="1">
        <v>11</v>
      </c>
      <c r="F948" s="3">
        <v>1738.57</v>
      </c>
      <c r="G948" s="1">
        <v>0</v>
      </c>
      <c r="H948" s="1" t="s">
        <v>2036</v>
      </c>
      <c r="I948" s="1" t="s">
        <v>916</v>
      </c>
      <c r="J948" s="1" t="s">
        <v>16</v>
      </c>
      <c r="K948" s="1" t="s">
        <v>2034</v>
      </c>
      <c r="L948" s="1" t="s">
        <v>1864</v>
      </c>
      <c r="M948">
        <f t="shared" si="98"/>
        <v>500</v>
      </c>
      <c r="N948" t="str">
        <f t="shared" si="99"/>
        <v>1968-01-25</v>
      </c>
      <c r="O948">
        <f t="shared" si="100"/>
        <v>44</v>
      </c>
      <c r="P948" t="str">
        <f t="shared" si="101"/>
        <v>kobieta</v>
      </c>
      <c r="Q948">
        <f t="shared" si="102"/>
        <v>60</v>
      </c>
      <c r="R948">
        <f t="shared" si="103"/>
        <v>48</v>
      </c>
      <c r="S948">
        <f t="shared" ca="1" si="104"/>
        <v>2</v>
      </c>
    </row>
    <row r="949" spans="1:19">
      <c r="A949" s="1" t="s">
        <v>12</v>
      </c>
      <c r="B949" s="2">
        <v>250</v>
      </c>
      <c r="C949" s="1">
        <v>250</v>
      </c>
      <c r="D949" s="1" t="s">
        <v>1581</v>
      </c>
      <c r="E949" s="1">
        <v>13</v>
      </c>
      <c r="F949" s="3">
        <v>1650</v>
      </c>
      <c r="G949" s="1">
        <v>1</v>
      </c>
      <c r="H949" s="1" t="s">
        <v>2037</v>
      </c>
      <c r="I949" s="1" t="s">
        <v>22</v>
      </c>
      <c r="J949" s="1" t="s">
        <v>16</v>
      </c>
      <c r="K949" s="1" t="s">
        <v>2034</v>
      </c>
      <c r="L949" s="1" t="s">
        <v>1956</v>
      </c>
      <c r="M949">
        <f t="shared" si="98"/>
        <v>250</v>
      </c>
      <c r="N949" t="str">
        <f t="shared" si="99"/>
        <v>1952-04-30</v>
      </c>
      <c r="O949">
        <f t="shared" si="100"/>
        <v>60</v>
      </c>
      <c r="P949" t="str">
        <f t="shared" si="101"/>
        <v>kobieta</v>
      </c>
      <c r="Q949">
        <f t="shared" si="102"/>
        <v>118</v>
      </c>
      <c r="R949">
        <f t="shared" si="103"/>
        <v>48</v>
      </c>
      <c r="S949">
        <f t="shared" ca="1" si="104"/>
        <v>0</v>
      </c>
    </row>
    <row r="950" spans="1:19">
      <c r="A950" s="1" t="s">
        <v>19</v>
      </c>
      <c r="B950" s="2">
        <v>299.72000000000003</v>
      </c>
      <c r="C950" s="1">
        <v>299.72000000000003</v>
      </c>
      <c r="D950" s="1" t="s">
        <v>420</v>
      </c>
      <c r="E950" s="1">
        <v>13</v>
      </c>
      <c r="F950" s="3">
        <v>714</v>
      </c>
      <c r="G950" s="1">
        <v>8</v>
      </c>
      <c r="H950" s="1" t="s">
        <v>2038</v>
      </c>
      <c r="I950" s="1" t="s">
        <v>422</v>
      </c>
      <c r="J950" s="1" t="s">
        <v>16</v>
      </c>
      <c r="K950" s="1" t="s">
        <v>2034</v>
      </c>
      <c r="L950" s="1" t="s">
        <v>1988</v>
      </c>
      <c r="M950">
        <f t="shared" si="98"/>
        <v>299.72000000000003</v>
      </c>
      <c r="N950" t="str">
        <f t="shared" si="99"/>
        <v>1949-07-16</v>
      </c>
      <c r="O950">
        <f t="shared" si="100"/>
        <v>63</v>
      </c>
      <c r="P950" t="str">
        <f t="shared" si="101"/>
        <v>kobieta</v>
      </c>
      <c r="Q950">
        <f t="shared" si="102"/>
        <v>225</v>
      </c>
      <c r="R950">
        <f t="shared" si="103"/>
        <v>48</v>
      </c>
      <c r="S950">
        <f t="shared" ca="1" si="104"/>
        <v>4</v>
      </c>
    </row>
    <row r="951" spans="1:19">
      <c r="A951" s="1" t="s">
        <v>19</v>
      </c>
      <c r="B951" s="2">
        <v>438.67</v>
      </c>
      <c r="C951" s="1">
        <v>438.67</v>
      </c>
      <c r="D951" s="1" t="s">
        <v>1321</v>
      </c>
      <c r="E951" s="1">
        <v>11</v>
      </c>
      <c r="F951" s="3">
        <v>1577.42</v>
      </c>
      <c r="G951" s="1">
        <v>0</v>
      </c>
      <c r="H951" s="1" t="s">
        <v>2039</v>
      </c>
      <c r="I951" s="1" t="s">
        <v>263</v>
      </c>
      <c r="J951" s="1" t="s">
        <v>16</v>
      </c>
      <c r="K951" s="1" t="s">
        <v>2034</v>
      </c>
      <c r="L951" s="1" t="s">
        <v>1864</v>
      </c>
      <c r="M951">
        <f t="shared" si="98"/>
        <v>438.67</v>
      </c>
      <c r="N951" t="str">
        <f t="shared" si="99"/>
        <v>1961-01-08</v>
      </c>
      <c r="O951">
        <f t="shared" si="100"/>
        <v>51</v>
      </c>
      <c r="P951" t="str">
        <f t="shared" si="101"/>
        <v>kobieta</v>
      </c>
      <c r="Q951">
        <f t="shared" si="102"/>
        <v>208</v>
      </c>
      <c r="R951">
        <f t="shared" si="103"/>
        <v>48</v>
      </c>
      <c r="S951">
        <f t="shared" ca="1" si="104"/>
        <v>2</v>
      </c>
    </row>
    <row r="952" spans="1:19">
      <c r="A952" s="1" t="s">
        <v>24</v>
      </c>
      <c r="B952" s="2">
        <v>800</v>
      </c>
      <c r="C952" s="1">
        <v>0</v>
      </c>
      <c r="D952" s="1" t="s">
        <v>2040</v>
      </c>
      <c r="E952" s="1">
        <v>98</v>
      </c>
      <c r="F952" s="3">
        <v>2500</v>
      </c>
      <c r="G952" s="1">
        <v>0</v>
      </c>
      <c r="H952" s="1" t="s">
        <v>2041</v>
      </c>
      <c r="I952" s="1" t="s">
        <v>356</v>
      </c>
      <c r="J952" s="1" t="s">
        <v>16</v>
      </c>
      <c r="K952" s="1" t="s">
        <v>16</v>
      </c>
      <c r="L952" s="1" t="s">
        <v>28</v>
      </c>
      <c r="M952">
        <f t="shared" si="98"/>
        <v>800</v>
      </c>
      <c r="N952" t="str">
        <f t="shared" si="99"/>
        <v>1969-02-13</v>
      </c>
      <c r="O952">
        <f t="shared" si="100"/>
        <v>43</v>
      </c>
      <c r="P952" t="str">
        <f t="shared" si="101"/>
        <v>mężczyzna</v>
      </c>
      <c r="Q952">
        <f t="shared" si="102"/>
        <v>144</v>
      </c>
      <c r="R952">
        <f t="shared" si="103"/>
        <v>48</v>
      </c>
      <c r="S952">
        <f t="shared" ca="1" si="104"/>
        <v>0</v>
      </c>
    </row>
    <row r="953" spans="1:19">
      <c r="A953" s="1" t="s">
        <v>19</v>
      </c>
      <c r="B953" s="2">
        <v>500</v>
      </c>
      <c r="C953" s="1">
        <v>500</v>
      </c>
      <c r="D953" s="1" t="s">
        <v>159</v>
      </c>
      <c r="E953" s="1">
        <v>12</v>
      </c>
      <c r="F953" s="3">
        <v>1952.35</v>
      </c>
      <c r="G953" s="1">
        <v>0</v>
      </c>
      <c r="H953" s="1" t="s">
        <v>2042</v>
      </c>
      <c r="I953" s="1" t="s">
        <v>161</v>
      </c>
      <c r="J953" s="1" t="s">
        <v>162</v>
      </c>
      <c r="K953" s="1" t="s">
        <v>2034</v>
      </c>
      <c r="L953" s="1" t="s">
        <v>1425</v>
      </c>
      <c r="M953">
        <f t="shared" si="98"/>
        <v>500</v>
      </c>
      <c r="N953" t="str">
        <f t="shared" si="99"/>
        <v>1967-10-17</v>
      </c>
      <c r="O953">
        <f t="shared" si="100"/>
        <v>45</v>
      </c>
      <c r="P953" t="str">
        <f t="shared" si="101"/>
        <v>mężczyzna</v>
      </c>
      <c r="Q953">
        <f t="shared" si="102"/>
        <v>7</v>
      </c>
      <c r="R953">
        <f t="shared" si="103"/>
        <v>4</v>
      </c>
      <c r="S953">
        <f t="shared" ca="1" si="104"/>
        <v>3</v>
      </c>
    </row>
    <row r="954" spans="1:19">
      <c r="A954" s="1" t="s">
        <v>12</v>
      </c>
      <c r="B954" s="2">
        <v>400</v>
      </c>
      <c r="C954" s="1">
        <v>200</v>
      </c>
      <c r="D954" s="1" t="s">
        <v>2043</v>
      </c>
      <c r="E954" s="1">
        <v>11</v>
      </c>
      <c r="F954" s="3">
        <v>2000</v>
      </c>
      <c r="G954" s="1">
        <v>0</v>
      </c>
      <c r="H954" s="1" t="s">
        <v>2044</v>
      </c>
      <c r="I954" s="1" t="s">
        <v>2045</v>
      </c>
      <c r="J954" s="1" t="s">
        <v>16</v>
      </c>
      <c r="K954" s="1" t="s">
        <v>2034</v>
      </c>
      <c r="L954" s="1" t="s">
        <v>1785</v>
      </c>
      <c r="M954">
        <f t="shared" si="98"/>
        <v>200</v>
      </c>
      <c r="N954" t="str">
        <f t="shared" si="99"/>
        <v>1967-09-09</v>
      </c>
      <c r="O954">
        <f t="shared" si="100"/>
        <v>45</v>
      </c>
      <c r="P954" t="str">
        <f t="shared" si="101"/>
        <v>mężczyzna</v>
      </c>
      <c r="Q954">
        <f t="shared" si="102"/>
        <v>204</v>
      </c>
      <c r="R954">
        <f t="shared" si="103"/>
        <v>48</v>
      </c>
      <c r="S954">
        <f t="shared" ca="1" si="104"/>
        <v>0</v>
      </c>
    </row>
    <row r="955" spans="1:19">
      <c r="A955" s="1" t="s">
        <v>24</v>
      </c>
      <c r="B955" s="2">
        <v>500</v>
      </c>
      <c r="C955" s="1">
        <v>0</v>
      </c>
      <c r="D955" s="1" t="s">
        <v>2046</v>
      </c>
      <c r="E955" s="1">
        <v>13</v>
      </c>
      <c r="F955" s="3">
        <v>1700</v>
      </c>
      <c r="G955" s="1">
        <v>0</v>
      </c>
      <c r="H955" s="1" t="s">
        <v>2047</v>
      </c>
      <c r="I955" s="1" t="s">
        <v>474</v>
      </c>
      <c r="J955" s="1" t="s">
        <v>16</v>
      </c>
      <c r="K955" s="1" t="s">
        <v>16</v>
      </c>
      <c r="L955" s="1" t="s">
        <v>28</v>
      </c>
      <c r="M955">
        <f t="shared" si="98"/>
        <v>500</v>
      </c>
      <c r="N955" t="str">
        <f t="shared" si="99"/>
        <v>1940-03-11</v>
      </c>
      <c r="O955">
        <f t="shared" si="100"/>
        <v>72</v>
      </c>
      <c r="P955" t="str">
        <f t="shared" si="101"/>
        <v>mężczyzna</v>
      </c>
      <c r="Q955">
        <f t="shared" si="102"/>
        <v>84</v>
      </c>
      <c r="R955">
        <f t="shared" si="103"/>
        <v>48</v>
      </c>
      <c r="S955">
        <f t="shared" ca="1" si="104"/>
        <v>0</v>
      </c>
    </row>
    <row r="956" spans="1:19">
      <c r="A956" s="1" t="s">
        <v>19</v>
      </c>
      <c r="B956" s="2">
        <v>400</v>
      </c>
      <c r="C956" s="1">
        <v>400</v>
      </c>
      <c r="D956" s="1" t="s">
        <v>1619</v>
      </c>
      <c r="E956" s="1">
        <v>16</v>
      </c>
      <c r="F956" s="3">
        <v>2084.79</v>
      </c>
      <c r="G956" s="1">
        <v>1</v>
      </c>
      <c r="H956" s="1" t="s">
        <v>2048</v>
      </c>
      <c r="I956" s="1" t="s">
        <v>356</v>
      </c>
      <c r="J956" s="1" t="s">
        <v>16</v>
      </c>
      <c r="K956" s="1" t="s">
        <v>2034</v>
      </c>
      <c r="L956" s="1" t="s">
        <v>1864</v>
      </c>
      <c r="M956">
        <f t="shared" si="98"/>
        <v>400</v>
      </c>
      <c r="N956" t="str">
        <f t="shared" si="99"/>
        <v>1949-01-01</v>
      </c>
      <c r="O956">
        <f t="shared" si="100"/>
        <v>63</v>
      </c>
      <c r="P956" t="str">
        <f t="shared" si="101"/>
        <v>kobieta</v>
      </c>
      <c r="Q956">
        <f t="shared" si="102"/>
        <v>144</v>
      </c>
      <c r="R956">
        <f t="shared" si="103"/>
        <v>48</v>
      </c>
      <c r="S956">
        <f t="shared" ca="1" si="104"/>
        <v>2</v>
      </c>
    </row>
    <row r="957" spans="1:19">
      <c r="A957" s="1" t="s">
        <v>24</v>
      </c>
      <c r="B957" s="2">
        <v>1000</v>
      </c>
      <c r="C957" s="1">
        <v>0</v>
      </c>
      <c r="D957" s="1" t="s">
        <v>2049</v>
      </c>
      <c r="E957" s="1">
        <v>11</v>
      </c>
      <c r="F957" s="3">
        <v>2300</v>
      </c>
      <c r="G957" s="1">
        <v>0</v>
      </c>
      <c r="H957" s="1" t="s">
        <v>2050</v>
      </c>
      <c r="I957" s="1" t="s">
        <v>395</v>
      </c>
      <c r="J957" s="1" t="s">
        <v>16</v>
      </c>
      <c r="K957" s="1" t="s">
        <v>16</v>
      </c>
      <c r="L957" s="1" t="s">
        <v>28</v>
      </c>
      <c r="M957">
        <f t="shared" si="98"/>
        <v>1000</v>
      </c>
      <c r="N957" t="str">
        <f t="shared" si="99"/>
        <v>1956-04-16</v>
      </c>
      <c r="O957">
        <f t="shared" si="100"/>
        <v>56</v>
      </c>
      <c r="P957" t="str">
        <f t="shared" si="101"/>
        <v>kobieta</v>
      </c>
      <c r="Q957">
        <f t="shared" si="102"/>
        <v>15</v>
      </c>
      <c r="R957">
        <f t="shared" si="103"/>
        <v>48</v>
      </c>
      <c r="S957">
        <f t="shared" ca="1" si="104"/>
        <v>0</v>
      </c>
    </row>
    <row r="958" spans="1:19">
      <c r="A958" s="1" t="s">
        <v>12</v>
      </c>
      <c r="B958" s="2">
        <v>500</v>
      </c>
      <c r="C958" s="1">
        <v>500</v>
      </c>
      <c r="D958" s="1" t="s">
        <v>856</v>
      </c>
      <c r="E958" s="1">
        <v>11</v>
      </c>
      <c r="F958" s="3">
        <v>2100</v>
      </c>
      <c r="G958" s="1">
        <v>0</v>
      </c>
      <c r="H958" s="1" t="s">
        <v>2051</v>
      </c>
      <c r="I958" s="1" t="s">
        <v>858</v>
      </c>
      <c r="J958" s="1" t="s">
        <v>16</v>
      </c>
      <c r="K958" s="1" t="s">
        <v>2034</v>
      </c>
      <c r="L958" s="1" t="s">
        <v>1810</v>
      </c>
      <c r="M958">
        <f t="shared" si="98"/>
        <v>500</v>
      </c>
      <c r="N958" t="str">
        <f t="shared" si="99"/>
        <v>1984-03-11</v>
      </c>
      <c r="O958">
        <f t="shared" si="100"/>
        <v>28</v>
      </c>
      <c r="P958" t="str">
        <f t="shared" si="101"/>
        <v>kobieta</v>
      </c>
      <c r="Q958">
        <f t="shared" si="102"/>
        <v>26</v>
      </c>
      <c r="R958">
        <f t="shared" si="103"/>
        <v>48</v>
      </c>
      <c r="S958">
        <f t="shared" ca="1" si="104"/>
        <v>0</v>
      </c>
    </row>
    <row r="959" spans="1:19">
      <c r="A959" s="1" t="s">
        <v>19</v>
      </c>
      <c r="B959" s="2">
        <v>530</v>
      </c>
      <c r="C959" s="1">
        <v>530</v>
      </c>
      <c r="D959" s="1" t="s">
        <v>378</v>
      </c>
      <c r="E959" s="1">
        <v>13</v>
      </c>
      <c r="F959" s="3">
        <v>1691.3</v>
      </c>
      <c r="G959" s="1">
        <v>3</v>
      </c>
      <c r="H959" s="1" t="s">
        <v>2052</v>
      </c>
      <c r="I959" s="1" t="s">
        <v>281</v>
      </c>
      <c r="J959" s="1" t="s">
        <v>16</v>
      </c>
      <c r="K959" s="1" t="s">
        <v>2053</v>
      </c>
      <c r="L959" s="1" t="s">
        <v>1992</v>
      </c>
      <c r="M959">
        <f t="shared" si="98"/>
        <v>530</v>
      </c>
      <c r="N959" t="str">
        <f t="shared" si="99"/>
        <v>1949-07-18</v>
      </c>
      <c r="O959">
        <f t="shared" si="100"/>
        <v>63</v>
      </c>
      <c r="P959" t="str">
        <f t="shared" si="101"/>
        <v>kobieta</v>
      </c>
      <c r="Q959">
        <f t="shared" si="102"/>
        <v>76</v>
      </c>
      <c r="R959">
        <f t="shared" si="103"/>
        <v>48</v>
      </c>
      <c r="S959">
        <f t="shared" ca="1" si="104"/>
        <v>1</v>
      </c>
    </row>
    <row r="960" spans="1:19">
      <c r="A960" s="1" t="s">
        <v>19</v>
      </c>
      <c r="B960" s="2">
        <v>400</v>
      </c>
      <c r="C960" s="1">
        <v>400</v>
      </c>
      <c r="D960" s="1" t="s">
        <v>2054</v>
      </c>
      <c r="E960" s="1">
        <v>13</v>
      </c>
      <c r="F960" s="3">
        <v>1017</v>
      </c>
      <c r="G960" s="1">
        <v>0</v>
      </c>
      <c r="H960" s="1" t="s">
        <v>2055</v>
      </c>
      <c r="I960" s="1" t="s">
        <v>234</v>
      </c>
      <c r="J960" s="1" t="s">
        <v>16</v>
      </c>
      <c r="K960" s="1" t="s">
        <v>2053</v>
      </c>
      <c r="L960" s="1" t="s">
        <v>1425</v>
      </c>
      <c r="M960">
        <f t="shared" si="98"/>
        <v>400</v>
      </c>
      <c r="N960" t="str">
        <f t="shared" si="99"/>
        <v>1943-02-01</v>
      </c>
      <c r="O960">
        <f t="shared" si="100"/>
        <v>69</v>
      </c>
      <c r="P960" t="str">
        <f t="shared" si="101"/>
        <v>kobieta</v>
      </c>
      <c r="Q960">
        <f t="shared" si="102"/>
        <v>164</v>
      </c>
      <c r="R960">
        <f t="shared" si="103"/>
        <v>48</v>
      </c>
      <c r="S960">
        <f t="shared" ca="1" si="104"/>
        <v>0</v>
      </c>
    </row>
    <row r="961" spans="1:19">
      <c r="A961" s="1" t="s">
        <v>19</v>
      </c>
      <c r="B961" s="2">
        <v>600</v>
      </c>
      <c r="C961" s="1">
        <v>600</v>
      </c>
      <c r="D961" s="1" t="s">
        <v>1313</v>
      </c>
      <c r="E961" s="1">
        <v>11</v>
      </c>
      <c r="F961" s="3">
        <v>1800</v>
      </c>
      <c r="G961" s="1">
        <v>0</v>
      </c>
      <c r="H961" s="1" t="s">
        <v>2056</v>
      </c>
      <c r="I961" s="1" t="s">
        <v>1315</v>
      </c>
      <c r="J961" s="1" t="s">
        <v>16</v>
      </c>
      <c r="K961" s="1" t="s">
        <v>2053</v>
      </c>
      <c r="L961" s="1" t="s">
        <v>2057</v>
      </c>
      <c r="M961">
        <f t="shared" si="98"/>
        <v>600</v>
      </c>
      <c r="N961" t="str">
        <f t="shared" si="99"/>
        <v>1972-12-22</v>
      </c>
      <c r="O961">
        <f t="shared" si="100"/>
        <v>40</v>
      </c>
      <c r="P961" t="str">
        <f t="shared" si="101"/>
        <v>kobieta</v>
      </c>
      <c r="Q961">
        <f t="shared" si="102"/>
        <v>55</v>
      </c>
      <c r="R961">
        <f t="shared" si="103"/>
        <v>48</v>
      </c>
      <c r="S961">
        <f t="shared" ca="1" si="104"/>
        <v>9</v>
      </c>
    </row>
    <row r="962" spans="1:19">
      <c r="A962" s="1" t="s">
        <v>19</v>
      </c>
      <c r="B962" s="2">
        <v>278.98</v>
      </c>
      <c r="C962" s="1">
        <v>278.98</v>
      </c>
      <c r="D962" s="1" t="s">
        <v>900</v>
      </c>
      <c r="E962" s="1">
        <v>98</v>
      </c>
      <c r="F962" s="3">
        <v>1200</v>
      </c>
      <c r="G962" s="1">
        <v>7</v>
      </c>
      <c r="H962" s="1" t="s">
        <v>2058</v>
      </c>
      <c r="I962" s="1" t="s">
        <v>902</v>
      </c>
      <c r="J962" s="1" t="s">
        <v>16</v>
      </c>
      <c r="K962" s="1" t="s">
        <v>2053</v>
      </c>
      <c r="L962" s="1" t="s">
        <v>1988</v>
      </c>
      <c r="M962">
        <f t="shared" si="98"/>
        <v>278.98</v>
      </c>
      <c r="N962" t="str">
        <f t="shared" si="99"/>
        <v>1973-10-31</v>
      </c>
      <c r="O962">
        <f t="shared" si="100"/>
        <v>39</v>
      </c>
      <c r="P962" t="str">
        <f t="shared" si="101"/>
        <v>kobieta</v>
      </c>
      <c r="Q962">
        <f t="shared" si="102"/>
        <v>49</v>
      </c>
      <c r="R962">
        <f t="shared" si="103"/>
        <v>48</v>
      </c>
      <c r="S962">
        <f t="shared" ca="1" si="104"/>
        <v>0</v>
      </c>
    </row>
    <row r="963" spans="1:19">
      <c r="A963" s="1" t="s">
        <v>19</v>
      </c>
      <c r="B963" s="2">
        <v>350</v>
      </c>
      <c r="C963" s="1">
        <v>350</v>
      </c>
      <c r="D963" s="1" t="s">
        <v>108</v>
      </c>
      <c r="E963" s="1">
        <v>13</v>
      </c>
      <c r="F963" s="3">
        <v>729.03</v>
      </c>
      <c r="G963" s="1">
        <v>8</v>
      </c>
      <c r="H963" s="1" t="s">
        <v>2059</v>
      </c>
      <c r="I963" s="1" t="s">
        <v>110</v>
      </c>
      <c r="J963" s="1" t="s">
        <v>16</v>
      </c>
      <c r="K963" s="1" t="s">
        <v>2053</v>
      </c>
      <c r="L963" s="1" t="s">
        <v>1992</v>
      </c>
      <c r="M963">
        <f t="shared" ref="M963:M1026" si="105">IF(A963="odmowa", B963,C963)</f>
        <v>350</v>
      </c>
      <c r="N963" t="str">
        <f t="shared" ref="N963:N1026" si="106">CONCATENATE("19", MID(D963, 1, 2), "-", MID(D963, 3, 2), "-", MID(D963, 5, 2))</f>
        <v>1941-08-29</v>
      </c>
      <c r="O963">
        <f t="shared" ref="O963:O1026" si="107">YEAR(H963) - YEAR(N963)</f>
        <v>71</v>
      </c>
      <c r="P963" t="str">
        <f t="shared" ref="P963:P1026" si="108">IF(MOD(MID(D963, 10, 1), 2)=0, "kobieta", "mężczyzna")</f>
        <v>kobieta</v>
      </c>
      <c r="Q963">
        <f t="shared" ref="Q963:Q1026" si="109">(YEAR(H963) - YEAR(I963)) * 12 + MONTH(H963) - MONTH(I963)</f>
        <v>260</v>
      </c>
      <c r="R963">
        <f t="shared" ref="R963:R1026" si="110">IF(LEFT(J963, 4)="0000", 48, MIN(48, (YEAR(J963) - YEAR(H963)) * 12 + MONTH(J963) - MONTH(H963)))</f>
        <v>48</v>
      </c>
      <c r="S963">
        <f t="shared" ref="S963:S1026" ca="1" si="111">IF(LEFT(K963, 4)="0000", 0, IF(LEFT(L963, 4)="0000", MAX(0, TODAY() - K963), MAX(0, L963 - K963)))</f>
        <v>1</v>
      </c>
    </row>
    <row r="964" spans="1:19">
      <c r="A964" s="1" t="s">
        <v>19</v>
      </c>
      <c r="B964" s="2">
        <v>300</v>
      </c>
      <c r="C964" s="1">
        <v>300</v>
      </c>
      <c r="D964" s="1" t="s">
        <v>1001</v>
      </c>
      <c r="E964" s="1">
        <v>13</v>
      </c>
      <c r="F964" s="3">
        <v>1027</v>
      </c>
      <c r="G964" s="1">
        <v>3</v>
      </c>
      <c r="H964" s="1" t="s">
        <v>2060</v>
      </c>
      <c r="I964" s="1" t="s">
        <v>1003</v>
      </c>
      <c r="J964" s="1" t="s">
        <v>16</v>
      </c>
      <c r="K964" s="1" t="s">
        <v>2053</v>
      </c>
      <c r="L964" s="1" t="s">
        <v>1864</v>
      </c>
      <c r="M964">
        <f t="shared" si="105"/>
        <v>300</v>
      </c>
      <c r="N964" t="str">
        <f t="shared" si="106"/>
        <v>1943-04-08</v>
      </c>
      <c r="O964">
        <f t="shared" si="107"/>
        <v>69</v>
      </c>
      <c r="P964" t="str">
        <f t="shared" si="108"/>
        <v>kobieta</v>
      </c>
      <c r="Q964">
        <f t="shared" si="109"/>
        <v>195</v>
      </c>
      <c r="R964">
        <f t="shared" si="110"/>
        <v>48</v>
      </c>
      <c r="S964">
        <f t="shared" ca="1" si="111"/>
        <v>0</v>
      </c>
    </row>
    <row r="965" spans="1:19">
      <c r="A965" s="1" t="s">
        <v>19</v>
      </c>
      <c r="B965" s="2">
        <v>974.28</v>
      </c>
      <c r="C965" s="1">
        <v>974.28</v>
      </c>
      <c r="D965" s="1" t="s">
        <v>212</v>
      </c>
      <c r="E965" s="1">
        <v>13</v>
      </c>
      <c r="F965" s="3">
        <v>2100</v>
      </c>
      <c r="G965" s="1">
        <v>6</v>
      </c>
      <c r="H965" s="1" t="s">
        <v>2061</v>
      </c>
      <c r="I965" s="1" t="s">
        <v>214</v>
      </c>
      <c r="J965" s="1" t="s">
        <v>16</v>
      </c>
      <c r="K965" s="1" t="s">
        <v>2053</v>
      </c>
      <c r="L965" s="1" t="s">
        <v>2062</v>
      </c>
      <c r="M965">
        <f t="shared" si="105"/>
        <v>974.28</v>
      </c>
      <c r="N965" t="str">
        <f t="shared" si="106"/>
        <v>1938-03-02</v>
      </c>
      <c r="O965">
        <f t="shared" si="107"/>
        <v>74</v>
      </c>
      <c r="P965" t="str">
        <f t="shared" si="108"/>
        <v>kobieta</v>
      </c>
      <c r="Q965">
        <f t="shared" si="109"/>
        <v>58</v>
      </c>
      <c r="R965">
        <f t="shared" si="110"/>
        <v>48</v>
      </c>
      <c r="S965">
        <f t="shared" ca="1" si="111"/>
        <v>5</v>
      </c>
    </row>
    <row r="966" spans="1:19">
      <c r="A966" s="1" t="s">
        <v>19</v>
      </c>
      <c r="B966" s="2">
        <v>300</v>
      </c>
      <c r="C966" s="1">
        <v>300</v>
      </c>
      <c r="D966" s="1" t="s">
        <v>929</v>
      </c>
      <c r="E966" s="1">
        <v>13</v>
      </c>
      <c r="F966" s="3">
        <v>1000</v>
      </c>
      <c r="G966" s="1">
        <v>4</v>
      </c>
      <c r="H966" s="1" t="s">
        <v>2063</v>
      </c>
      <c r="I966" s="1" t="s">
        <v>266</v>
      </c>
      <c r="J966" s="1" t="s">
        <v>16</v>
      </c>
      <c r="K966" s="1" t="s">
        <v>2053</v>
      </c>
      <c r="L966" s="1" t="s">
        <v>1988</v>
      </c>
      <c r="M966">
        <f t="shared" si="105"/>
        <v>300</v>
      </c>
      <c r="N966" t="str">
        <f t="shared" si="106"/>
        <v>1941-01-26</v>
      </c>
      <c r="O966">
        <f t="shared" si="107"/>
        <v>71</v>
      </c>
      <c r="P966" t="str">
        <f t="shared" si="108"/>
        <v>kobieta</v>
      </c>
      <c r="Q966">
        <f t="shared" si="109"/>
        <v>67</v>
      </c>
      <c r="R966">
        <f t="shared" si="110"/>
        <v>48</v>
      </c>
      <c r="S966">
        <f t="shared" ca="1" si="111"/>
        <v>0</v>
      </c>
    </row>
    <row r="967" spans="1:19">
      <c r="A967" s="1" t="s">
        <v>12</v>
      </c>
      <c r="B967" s="2">
        <v>300</v>
      </c>
      <c r="C967" s="1">
        <v>300</v>
      </c>
      <c r="D967" s="1" t="s">
        <v>2064</v>
      </c>
      <c r="E967" s="1">
        <v>11</v>
      </c>
      <c r="F967" s="3">
        <v>1660</v>
      </c>
      <c r="G967" s="1">
        <v>0</v>
      </c>
      <c r="H967" s="1" t="s">
        <v>2065</v>
      </c>
      <c r="I967" s="1" t="s">
        <v>448</v>
      </c>
      <c r="J967" s="1" t="s">
        <v>16</v>
      </c>
      <c r="K967" s="1" t="s">
        <v>2053</v>
      </c>
      <c r="L967" s="1" t="s">
        <v>1864</v>
      </c>
      <c r="M967">
        <f t="shared" si="105"/>
        <v>300</v>
      </c>
      <c r="N967" t="str">
        <f t="shared" si="106"/>
        <v>1948-02-26</v>
      </c>
      <c r="O967">
        <f t="shared" si="107"/>
        <v>64</v>
      </c>
      <c r="P967" t="str">
        <f t="shared" si="108"/>
        <v>mężczyzna</v>
      </c>
      <c r="Q967">
        <f t="shared" si="109"/>
        <v>53</v>
      </c>
      <c r="R967">
        <f t="shared" si="110"/>
        <v>48</v>
      </c>
      <c r="S967">
        <f t="shared" ca="1" si="111"/>
        <v>0</v>
      </c>
    </row>
    <row r="968" spans="1:19">
      <c r="A968" s="1" t="s">
        <v>24</v>
      </c>
      <c r="B968" s="2">
        <v>300</v>
      </c>
      <c r="C968" s="1">
        <v>0</v>
      </c>
      <c r="D968" s="1" t="s">
        <v>2066</v>
      </c>
      <c r="E968" s="1">
        <v>13</v>
      </c>
      <c r="F968" s="3">
        <v>988</v>
      </c>
      <c r="G968" s="1">
        <v>0</v>
      </c>
      <c r="H968" s="1" t="s">
        <v>2067</v>
      </c>
      <c r="I968" s="1" t="s">
        <v>2068</v>
      </c>
      <c r="J968" s="1" t="s">
        <v>16</v>
      </c>
      <c r="K968" s="1" t="s">
        <v>16</v>
      </c>
      <c r="L968" s="1" t="s">
        <v>28</v>
      </c>
      <c r="M968">
        <f t="shared" si="105"/>
        <v>300</v>
      </c>
      <c r="N968" t="str">
        <f t="shared" si="106"/>
        <v>1951-05-17</v>
      </c>
      <c r="O968">
        <f t="shared" si="107"/>
        <v>61</v>
      </c>
      <c r="P968" t="str">
        <f t="shared" si="108"/>
        <v>mężczyzna</v>
      </c>
      <c r="Q968">
        <f t="shared" si="109"/>
        <v>228</v>
      </c>
      <c r="R968">
        <f t="shared" si="110"/>
        <v>48</v>
      </c>
      <c r="S968">
        <f t="shared" ca="1" si="111"/>
        <v>0</v>
      </c>
    </row>
    <row r="969" spans="1:19">
      <c r="A969" s="1" t="s">
        <v>12</v>
      </c>
      <c r="B969" s="2">
        <v>300</v>
      </c>
      <c r="C969" s="1">
        <v>300</v>
      </c>
      <c r="D969" s="1" t="s">
        <v>387</v>
      </c>
      <c r="E969" s="1">
        <v>11</v>
      </c>
      <c r="F969" s="3">
        <v>1459</v>
      </c>
      <c r="G969" s="1">
        <v>4</v>
      </c>
      <c r="H969" s="1" t="s">
        <v>2069</v>
      </c>
      <c r="I969" s="1" t="s">
        <v>389</v>
      </c>
      <c r="J969" s="1" t="s">
        <v>16</v>
      </c>
      <c r="K969" s="1" t="s">
        <v>2053</v>
      </c>
      <c r="L969" s="1" t="s">
        <v>2070</v>
      </c>
      <c r="M969">
        <f t="shared" si="105"/>
        <v>300</v>
      </c>
      <c r="N969" t="str">
        <f t="shared" si="106"/>
        <v>1985-04-24</v>
      </c>
      <c r="O969">
        <f t="shared" si="107"/>
        <v>27</v>
      </c>
      <c r="P969" t="str">
        <f t="shared" si="108"/>
        <v>mężczyzna</v>
      </c>
      <c r="Q969">
        <f t="shared" si="109"/>
        <v>12</v>
      </c>
      <c r="R969">
        <f t="shared" si="110"/>
        <v>48</v>
      </c>
      <c r="S969">
        <f t="shared" ca="1" si="111"/>
        <v>8</v>
      </c>
    </row>
    <row r="970" spans="1:19">
      <c r="A970" s="1" t="s">
        <v>19</v>
      </c>
      <c r="B970" s="2">
        <v>500</v>
      </c>
      <c r="C970" s="1">
        <v>500</v>
      </c>
      <c r="D970" s="1" t="s">
        <v>182</v>
      </c>
      <c r="E970" s="1">
        <v>13</v>
      </c>
      <c r="F970" s="3">
        <v>3251</v>
      </c>
      <c r="G970" s="1">
        <v>1</v>
      </c>
      <c r="H970" s="1" t="s">
        <v>2071</v>
      </c>
      <c r="I970" s="1" t="s">
        <v>184</v>
      </c>
      <c r="J970" s="1" t="s">
        <v>16</v>
      </c>
      <c r="K970" s="1" t="s">
        <v>2053</v>
      </c>
      <c r="L970" s="1" t="s">
        <v>2072</v>
      </c>
      <c r="M970">
        <f t="shared" si="105"/>
        <v>500</v>
      </c>
      <c r="N970" t="str">
        <f t="shared" si="106"/>
        <v>1948-12-07</v>
      </c>
      <c r="O970">
        <f t="shared" si="107"/>
        <v>64</v>
      </c>
      <c r="P970" t="str">
        <f t="shared" si="108"/>
        <v>kobieta</v>
      </c>
      <c r="Q970">
        <f t="shared" si="109"/>
        <v>141</v>
      </c>
      <c r="R970">
        <f t="shared" si="110"/>
        <v>48</v>
      </c>
      <c r="S970">
        <f t="shared" ca="1" si="111"/>
        <v>3</v>
      </c>
    </row>
    <row r="971" spans="1:19">
      <c r="A971" s="1" t="s">
        <v>19</v>
      </c>
      <c r="B971" s="2">
        <v>664.48</v>
      </c>
      <c r="C971" s="1">
        <v>664.48</v>
      </c>
      <c r="D971" s="1" t="s">
        <v>1027</v>
      </c>
      <c r="E971" s="1">
        <v>13</v>
      </c>
      <c r="F971" s="3">
        <v>930</v>
      </c>
      <c r="G971" s="1">
        <v>4</v>
      </c>
      <c r="H971" s="1" t="s">
        <v>2073</v>
      </c>
      <c r="I971" s="1" t="s">
        <v>1029</v>
      </c>
      <c r="J971" s="1" t="s">
        <v>16</v>
      </c>
      <c r="K971" s="1" t="s">
        <v>2053</v>
      </c>
      <c r="L971" s="1" t="s">
        <v>1960</v>
      </c>
      <c r="M971">
        <f t="shared" si="105"/>
        <v>664.48</v>
      </c>
      <c r="N971" t="str">
        <f t="shared" si="106"/>
        <v>1948-02-11</v>
      </c>
      <c r="O971">
        <f t="shared" si="107"/>
        <v>64</v>
      </c>
      <c r="P971" t="str">
        <f t="shared" si="108"/>
        <v>kobieta</v>
      </c>
      <c r="Q971">
        <f t="shared" si="109"/>
        <v>97</v>
      </c>
      <c r="R971">
        <f t="shared" si="110"/>
        <v>48</v>
      </c>
      <c r="S971">
        <f t="shared" ca="1" si="111"/>
        <v>2</v>
      </c>
    </row>
    <row r="972" spans="1:19">
      <c r="A972" s="1" t="s">
        <v>12</v>
      </c>
      <c r="B972" s="2">
        <v>460</v>
      </c>
      <c r="C972" s="1">
        <v>460</v>
      </c>
      <c r="D972" s="1" t="s">
        <v>949</v>
      </c>
      <c r="E972" s="1">
        <v>13</v>
      </c>
      <c r="F972" s="3">
        <v>1013.74</v>
      </c>
      <c r="G972" s="1">
        <v>7</v>
      </c>
      <c r="H972" s="1" t="s">
        <v>2074</v>
      </c>
      <c r="I972" s="1" t="s">
        <v>951</v>
      </c>
      <c r="J972" s="1" t="s">
        <v>16</v>
      </c>
      <c r="K972" s="1" t="s">
        <v>2053</v>
      </c>
      <c r="L972" s="1" t="s">
        <v>1778</v>
      </c>
      <c r="M972">
        <f t="shared" si="105"/>
        <v>460</v>
      </c>
      <c r="N972" t="str">
        <f t="shared" si="106"/>
        <v>1946-09-02</v>
      </c>
      <c r="O972">
        <f t="shared" si="107"/>
        <v>66</v>
      </c>
      <c r="P972" t="str">
        <f t="shared" si="108"/>
        <v>kobieta</v>
      </c>
      <c r="Q972">
        <f t="shared" si="109"/>
        <v>116</v>
      </c>
      <c r="R972">
        <f t="shared" si="110"/>
        <v>48</v>
      </c>
      <c r="S972">
        <f t="shared" ca="1" si="111"/>
        <v>0</v>
      </c>
    </row>
    <row r="973" spans="1:19">
      <c r="A973" s="1" t="s">
        <v>12</v>
      </c>
      <c r="B973" s="2">
        <v>200</v>
      </c>
      <c r="C973" s="1">
        <v>200</v>
      </c>
      <c r="D973" s="1" t="s">
        <v>1057</v>
      </c>
      <c r="E973" s="1">
        <v>13</v>
      </c>
      <c r="F973" s="3">
        <v>720.19</v>
      </c>
      <c r="G973" s="1">
        <v>5</v>
      </c>
      <c r="H973" s="1" t="s">
        <v>2075</v>
      </c>
      <c r="I973" s="1" t="s">
        <v>822</v>
      </c>
      <c r="J973" s="1" t="s">
        <v>16</v>
      </c>
      <c r="K973" s="1" t="s">
        <v>2053</v>
      </c>
      <c r="L973" s="1" t="s">
        <v>1960</v>
      </c>
      <c r="M973">
        <f t="shared" si="105"/>
        <v>200</v>
      </c>
      <c r="N973" t="str">
        <f t="shared" si="106"/>
        <v>1944-02-02</v>
      </c>
      <c r="O973">
        <f t="shared" si="107"/>
        <v>68</v>
      </c>
      <c r="P973" t="str">
        <f t="shared" si="108"/>
        <v>kobieta</v>
      </c>
      <c r="Q973">
        <f t="shared" si="109"/>
        <v>96</v>
      </c>
      <c r="R973">
        <f t="shared" si="110"/>
        <v>48</v>
      </c>
      <c r="S973">
        <f t="shared" ca="1" si="111"/>
        <v>2</v>
      </c>
    </row>
    <row r="974" spans="1:19">
      <c r="A974" s="1" t="s">
        <v>12</v>
      </c>
      <c r="B974" s="2">
        <v>500</v>
      </c>
      <c r="C974" s="1">
        <v>500</v>
      </c>
      <c r="D974" s="1" t="s">
        <v>1059</v>
      </c>
      <c r="E974" s="1">
        <v>13</v>
      </c>
      <c r="F974" s="3">
        <v>1212</v>
      </c>
      <c r="G974" s="1">
        <v>7</v>
      </c>
      <c r="H974" s="1" t="s">
        <v>2076</v>
      </c>
      <c r="I974" s="1" t="s">
        <v>1061</v>
      </c>
      <c r="J974" s="1" t="s">
        <v>16</v>
      </c>
      <c r="K974" s="1" t="s">
        <v>2053</v>
      </c>
      <c r="L974" s="1" t="s">
        <v>1785</v>
      </c>
      <c r="M974">
        <f t="shared" si="105"/>
        <v>500</v>
      </c>
      <c r="N974" t="str">
        <f t="shared" si="106"/>
        <v>1951-04-08</v>
      </c>
      <c r="O974">
        <f t="shared" si="107"/>
        <v>61</v>
      </c>
      <c r="P974" t="str">
        <f t="shared" si="108"/>
        <v>kobieta</v>
      </c>
      <c r="Q974">
        <f t="shared" si="109"/>
        <v>57</v>
      </c>
      <c r="R974">
        <f t="shared" si="110"/>
        <v>48</v>
      </c>
      <c r="S974">
        <f t="shared" ca="1" si="111"/>
        <v>0</v>
      </c>
    </row>
    <row r="975" spans="1:19">
      <c r="A975" s="1" t="s">
        <v>19</v>
      </c>
      <c r="B975" s="2">
        <v>200</v>
      </c>
      <c r="C975" s="1">
        <v>200</v>
      </c>
      <c r="D975" s="1" t="s">
        <v>635</v>
      </c>
      <c r="E975" s="1">
        <v>12</v>
      </c>
      <c r="F975" s="3">
        <v>1865</v>
      </c>
      <c r="G975" s="1">
        <v>4</v>
      </c>
      <c r="H975" s="1" t="s">
        <v>2077</v>
      </c>
      <c r="I975" s="1" t="s">
        <v>637</v>
      </c>
      <c r="J975" s="1" t="s">
        <v>2023</v>
      </c>
      <c r="K975" s="1" t="s">
        <v>2053</v>
      </c>
      <c r="L975" s="1" t="s">
        <v>1992</v>
      </c>
      <c r="M975">
        <f t="shared" si="105"/>
        <v>200</v>
      </c>
      <c r="N975" t="str">
        <f t="shared" si="106"/>
        <v>1980-02-07</v>
      </c>
      <c r="O975">
        <f t="shared" si="107"/>
        <v>32</v>
      </c>
      <c r="P975" t="str">
        <f t="shared" si="108"/>
        <v>kobieta</v>
      </c>
      <c r="Q975">
        <f t="shared" si="109"/>
        <v>23</v>
      </c>
      <c r="R975">
        <f t="shared" si="110"/>
        <v>11</v>
      </c>
      <c r="S975">
        <f t="shared" ca="1" si="111"/>
        <v>1</v>
      </c>
    </row>
    <row r="976" spans="1:19">
      <c r="A976" s="1" t="s">
        <v>19</v>
      </c>
      <c r="B976" s="2">
        <v>400</v>
      </c>
      <c r="C976" s="1">
        <v>400</v>
      </c>
      <c r="D976" s="1" t="s">
        <v>2078</v>
      </c>
      <c r="E976" s="1">
        <v>13</v>
      </c>
      <c r="F976" s="3">
        <v>1016</v>
      </c>
      <c r="G976" s="1">
        <v>0</v>
      </c>
      <c r="H976" s="1" t="s">
        <v>2079</v>
      </c>
      <c r="I976" s="1" t="s">
        <v>1014</v>
      </c>
      <c r="J976" s="1" t="s">
        <v>16</v>
      </c>
      <c r="K976" s="1" t="s">
        <v>2053</v>
      </c>
      <c r="L976" s="1" t="s">
        <v>1988</v>
      </c>
      <c r="M976">
        <f t="shared" si="105"/>
        <v>400</v>
      </c>
      <c r="N976" t="str">
        <f t="shared" si="106"/>
        <v>1941-11-12</v>
      </c>
      <c r="O976">
        <f t="shared" si="107"/>
        <v>71</v>
      </c>
      <c r="P976" t="str">
        <f t="shared" si="108"/>
        <v>kobieta</v>
      </c>
      <c r="Q976">
        <f t="shared" si="109"/>
        <v>192</v>
      </c>
      <c r="R976">
        <f t="shared" si="110"/>
        <v>48</v>
      </c>
      <c r="S976">
        <f t="shared" ca="1" si="111"/>
        <v>0</v>
      </c>
    </row>
    <row r="977" spans="1:19">
      <c r="A977" s="1" t="s">
        <v>24</v>
      </c>
      <c r="B977" s="2">
        <v>300</v>
      </c>
      <c r="C977" s="1">
        <v>0</v>
      </c>
      <c r="D977" s="1" t="s">
        <v>2080</v>
      </c>
      <c r="E977" s="1">
        <v>13</v>
      </c>
      <c r="F977" s="3">
        <v>1018</v>
      </c>
      <c r="G977" s="1">
        <v>0</v>
      </c>
      <c r="H977" s="1" t="s">
        <v>2081</v>
      </c>
      <c r="I977" s="1" t="s">
        <v>764</v>
      </c>
      <c r="J977" s="1" t="s">
        <v>16</v>
      </c>
      <c r="K977" s="1" t="s">
        <v>16</v>
      </c>
      <c r="L977" s="1" t="s">
        <v>28</v>
      </c>
      <c r="M977">
        <f t="shared" si="105"/>
        <v>300</v>
      </c>
      <c r="N977" t="str">
        <f t="shared" si="106"/>
        <v>1946-08-17</v>
      </c>
      <c r="O977">
        <f t="shared" si="107"/>
        <v>66</v>
      </c>
      <c r="P977" t="str">
        <f t="shared" si="108"/>
        <v>kobieta</v>
      </c>
      <c r="Q977">
        <f t="shared" si="109"/>
        <v>132</v>
      </c>
      <c r="R977">
        <f t="shared" si="110"/>
        <v>48</v>
      </c>
      <c r="S977">
        <f t="shared" ca="1" si="111"/>
        <v>0</v>
      </c>
    </row>
    <row r="978" spans="1:19">
      <c r="A978" s="1" t="s">
        <v>19</v>
      </c>
      <c r="B978" s="2">
        <v>938.75</v>
      </c>
      <c r="C978" s="1">
        <v>938.75</v>
      </c>
      <c r="D978" s="1" t="s">
        <v>923</v>
      </c>
      <c r="E978" s="1">
        <v>13</v>
      </c>
      <c r="F978" s="3">
        <v>2474</v>
      </c>
      <c r="G978" s="1">
        <v>2</v>
      </c>
      <c r="H978" s="1" t="s">
        <v>2082</v>
      </c>
      <c r="I978" s="1" t="s">
        <v>925</v>
      </c>
      <c r="J978" s="1" t="s">
        <v>16</v>
      </c>
      <c r="K978" s="1" t="s">
        <v>2053</v>
      </c>
      <c r="L978" s="1" t="s">
        <v>1988</v>
      </c>
      <c r="M978">
        <f t="shared" si="105"/>
        <v>938.75</v>
      </c>
      <c r="N978" t="str">
        <f t="shared" si="106"/>
        <v>1949-02-26</v>
      </c>
      <c r="O978">
        <f t="shared" si="107"/>
        <v>63</v>
      </c>
      <c r="P978" t="str">
        <f t="shared" si="108"/>
        <v>mężczyzna</v>
      </c>
      <c r="Q978">
        <f t="shared" si="109"/>
        <v>18</v>
      </c>
      <c r="R978">
        <f t="shared" si="110"/>
        <v>48</v>
      </c>
      <c r="S978">
        <f t="shared" ca="1" si="111"/>
        <v>0</v>
      </c>
    </row>
    <row r="979" spans="1:19">
      <c r="A979" s="1" t="s">
        <v>19</v>
      </c>
      <c r="B979" s="2">
        <v>400</v>
      </c>
      <c r="C979" s="1">
        <v>400</v>
      </c>
      <c r="D979" s="1" t="s">
        <v>972</v>
      </c>
      <c r="E979" s="1">
        <v>11</v>
      </c>
      <c r="F979" s="3">
        <v>1500</v>
      </c>
      <c r="G979" s="1">
        <v>6</v>
      </c>
      <c r="H979" s="1" t="s">
        <v>2083</v>
      </c>
      <c r="I979" s="1" t="s">
        <v>333</v>
      </c>
      <c r="J979" s="1" t="s">
        <v>16</v>
      </c>
      <c r="K979" s="1" t="s">
        <v>2053</v>
      </c>
      <c r="L979" s="1" t="s">
        <v>1960</v>
      </c>
      <c r="M979">
        <f t="shared" si="105"/>
        <v>400</v>
      </c>
      <c r="N979" t="str">
        <f t="shared" si="106"/>
        <v>1953-04-19</v>
      </c>
      <c r="O979">
        <f t="shared" si="107"/>
        <v>59</v>
      </c>
      <c r="P979" t="str">
        <f t="shared" si="108"/>
        <v>kobieta</v>
      </c>
      <c r="Q979">
        <f t="shared" si="109"/>
        <v>88</v>
      </c>
      <c r="R979">
        <f t="shared" si="110"/>
        <v>48</v>
      </c>
      <c r="S979">
        <f t="shared" ca="1" si="111"/>
        <v>2</v>
      </c>
    </row>
    <row r="980" spans="1:19">
      <c r="A980" s="1" t="s">
        <v>19</v>
      </c>
      <c r="B980" s="2">
        <v>600</v>
      </c>
      <c r="C980" s="1">
        <v>600</v>
      </c>
      <c r="D980" s="1" t="s">
        <v>1118</v>
      </c>
      <c r="E980" s="1">
        <v>13</v>
      </c>
      <c r="F980" s="3">
        <v>640</v>
      </c>
      <c r="G980" s="1">
        <v>1</v>
      </c>
      <c r="H980" s="1" t="s">
        <v>2084</v>
      </c>
      <c r="I980" s="1" t="s">
        <v>1120</v>
      </c>
      <c r="J980" s="1" t="s">
        <v>16</v>
      </c>
      <c r="K980" s="1" t="s">
        <v>2053</v>
      </c>
      <c r="L980" s="1" t="s">
        <v>1992</v>
      </c>
      <c r="M980">
        <f t="shared" si="105"/>
        <v>600</v>
      </c>
      <c r="N980" t="str">
        <f t="shared" si="106"/>
        <v>1939-11-24</v>
      </c>
      <c r="O980">
        <f t="shared" si="107"/>
        <v>73</v>
      </c>
      <c r="P980" t="str">
        <f t="shared" si="108"/>
        <v>kobieta</v>
      </c>
      <c r="Q980">
        <f t="shared" si="109"/>
        <v>142</v>
      </c>
      <c r="R980">
        <f t="shared" si="110"/>
        <v>48</v>
      </c>
      <c r="S980">
        <f t="shared" ca="1" si="111"/>
        <v>1</v>
      </c>
    </row>
    <row r="981" spans="1:19">
      <c r="A981" s="1" t="s">
        <v>19</v>
      </c>
      <c r="B981" s="2">
        <v>584.58000000000004</v>
      </c>
      <c r="C981" s="1">
        <v>584.58000000000004</v>
      </c>
      <c r="D981" s="1" t="s">
        <v>36</v>
      </c>
      <c r="E981" s="1">
        <v>16</v>
      </c>
      <c r="F981" s="3">
        <v>892</v>
      </c>
      <c r="G981" s="1">
        <v>1</v>
      </c>
      <c r="H981" s="1" t="s">
        <v>2085</v>
      </c>
      <c r="I981" s="1" t="s">
        <v>38</v>
      </c>
      <c r="J981" s="1" t="s">
        <v>16</v>
      </c>
      <c r="K981" s="1" t="s">
        <v>2053</v>
      </c>
      <c r="L981" s="1" t="s">
        <v>1988</v>
      </c>
      <c r="M981">
        <f t="shared" si="105"/>
        <v>584.58000000000004</v>
      </c>
      <c r="N981" t="str">
        <f t="shared" si="106"/>
        <v>1946-01-22</v>
      </c>
      <c r="O981">
        <f t="shared" si="107"/>
        <v>66</v>
      </c>
      <c r="P981" t="str">
        <f t="shared" si="108"/>
        <v>kobieta</v>
      </c>
      <c r="Q981">
        <f t="shared" si="109"/>
        <v>204</v>
      </c>
      <c r="R981">
        <f t="shared" si="110"/>
        <v>48</v>
      </c>
      <c r="S981">
        <f t="shared" ca="1" si="111"/>
        <v>0</v>
      </c>
    </row>
    <row r="982" spans="1:19">
      <c r="A982" s="1" t="s">
        <v>19</v>
      </c>
      <c r="B982" s="2">
        <v>1000</v>
      </c>
      <c r="C982" s="1">
        <v>1000</v>
      </c>
      <c r="D982" s="1" t="s">
        <v>97</v>
      </c>
      <c r="E982" s="1">
        <v>13</v>
      </c>
      <c r="F982" s="3">
        <v>1530</v>
      </c>
      <c r="G982" s="1">
        <v>1</v>
      </c>
      <c r="H982" s="1" t="s">
        <v>2086</v>
      </c>
      <c r="I982" s="1" t="s">
        <v>99</v>
      </c>
      <c r="J982" s="1" t="s">
        <v>16</v>
      </c>
      <c r="K982" s="1" t="s">
        <v>2053</v>
      </c>
      <c r="L982" s="1" t="s">
        <v>1381</v>
      </c>
      <c r="M982">
        <f t="shared" si="105"/>
        <v>1000</v>
      </c>
      <c r="N982" t="str">
        <f t="shared" si="106"/>
        <v>1954-01-12</v>
      </c>
      <c r="O982">
        <f t="shared" si="107"/>
        <v>58</v>
      </c>
      <c r="P982" t="str">
        <f t="shared" si="108"/>
        <v>kobieta</v>
      </c>
      <c r="Q982">
        <f t="shared" si="109"/>
        <v>28</v>
      </c>
      <c r="R982">
        <f t="shared" si="110"/>
        <v>48</v>
      </c>
      <c r="S982">
        <f t="shared" ca="1" si="111"/>
        <v>28</v>
      </c>
    </row>
    <row r="983" spans="1:19">
      <c r="A983" s="1" t="s">
        <v>56</v>
      </c>
      <c r="B983" s="2">
        <v>367.31</v>
      </c>
      <c r="C983" s="1">
        <v>367.31</v>
      </c>
      <c r="D983" s="1" t="s">
        <v>1265</v>
      </c>
      <c r="E983" s="1">
        <v>13</v>
      </c>
      <c r="F983" s="3">
        <v>1684</v>
      </c>
      <c r="G983" s="1">
        <v>6</v>
      </c>
      <c r="H983" s="1" t="s">
        <v>2087</v>
      </c>
      <c r="I983" s="1" t="s">
        <v>438</v>
      </c>
      <c r="J983" s="1" t="s">
        <v>16</v>
      </c>
      <c r="K983" s="1" t="s">
        <v>2053</v>
      </c>
      <c r="L983" s="1" t="s">
        <v>28</v>
      </c>
      <c r="M983">
        <f t="shared" si="105"/>
        <v>367.31</v>
      </c>
      <c r="N983" t="str">
        <f t="shared" si="106"/>
        <v>1950-02-11</v>
      </c>
      <c r="O983">
        <f t="shared" si="107"/>
        <v>62</v>
      </c>
      <c r="P983" t="str">
        <f t="shared" si="108"/>
        <v>kobieta</v>
      </c>
      <c r="Q983">
        <f t="shared" si="109"/>
        <v>23</v>
      </c>
      <c r="R983">
        <f t="shared" si="110"/>
        <v>48</v>
      </c>
      <c r="S983">
        <f t="shared" ca="1" si="111"/>
        <v>5186</v>
      </c>
    </row>
    <row r="984" spans="1:19">
      <c r="A984" s="1" t="s">
        <v>19</v>
      </c>
      <c r="B984" s="2">
        <v>400</v>
      </c>
      <c r="C984" s="1">
        <v>400</v>
      </c>
      <c r="D984" s="1" t="s">
        <v>898</v>
      </c>
      <c r="E984" s="1">
        <v>16</v>
      </c>
      <c r="F984" s="3">
        <v>1411</v>
      </c>
      <c r="G984" s="1">
        <v>4</v>
      </c>
      <c r="H984" s="1" t="s">
        <v>2088</v>
      </c>
      <c r="I984" s="1" t="s">
        <v>807</v>
      </c>
      <c r="J984" s="1" t="s">
        <v>16</v>
      </c>
      <c r="K984" s="1" t="s">
        <v>2053</v>
      </c>
      <c r="L984" s="1" t="s">
        <v>2072</v>
      </c>
      <c r="M984">
        <f t="shared" si="105"/>
        <v>400</v>
      </c>
      <c r="N984" t="str">
        <f t="shared" si="106"/>
        <v>1951-07-12</v>
      </c>
      <c r="O984">
        <f t="shared" si="107"/>
        <v>61</v>
      </c>
      <c r="P984" t="str">
        <f t="shared" si="108"/>
        <v>kobieta</v>
      </c>
      <c r="Q984">
        <f t="shared" si="109"/>
        <v>69</v>
      </c>
      <c r="R984">
        <f t="shared" si="110"/>
        <v>48</v>
      </c>
      <c r="S984">
        <f t="shared" ca="1" si="111"/>
        <v>3</v>
      </c>
    </row>
    <row r="985" spans="1:19">
      <c r="A985" s="1" t="s">
        <v>12</v>
      </c>
      <c r="B985" s="2">
        <v>400</v>
      </c>
      <c r="C985" s="1">
        <v>400</v>
      </c>
      <c r="D985" s="1" t="s">
        <v>490</v>
      </c>
      <c r="E985" s="1">
        <v>11</v>
      </c>
      <c r="F985" s="3">
        <v>1730.13</v>
      </c>
      <c r="G985" s="1">
        <v>0</v>
      </c>
      <c r="H985" s="1" t="s">
        <v>2089</v>
      </c>
      <c r="I985" s="1" t="s">
        <v>76</v>
      </c>
      <c r="J985" s="1" t="s">
        <v>16</v>
      </c>
      <c r="K985" s="1" t="s">
        <v>2090</v>
      </c>
      <c r="L985" s="1" t="s">
        <v>2091</v>
      </c>
      <c r="M985">
        <f t="shared" si="105"/>
        <v>400</v>
      </c>
      <c r="N985" t="str">
        <f t="shared" si="106"/>
        <v>1955-04-03</v>
      </c>
      <c r="O985">
        <f t="shared" si="107"/>
        <v>57</v>
      </c>
      <c r="P985" t="str">
        <f t="shared" si="108"/>
        <v>kobieta</v>
      </c>
      <c r="Q985">
        <f t="shared" si="109"/>
        <v>196</v>
      </c>
      <c r="R985">
        <f t="shared" si="110"/>
        <v>48</v>
      </c>
      <c r="S985">
        <f t="shared" ca="1" si="111"/>
        <v>12</v>
      </c>
    </row>
    <row r="986" spans="1:19">
      <c r="A986" s="1" t="s">
        <v>19</v>
      </c>
      <c r="B986" s="2">
        <v>900</v>
      </c>
      <c r="C986" s="1">
        <v>900</v>
      </c>
      <c r="D986" s="1" t="s">
        <v>1020</v>
      </c>
      <c r="E986" s="1">
        <v>17</v>
      </c>
      <c r="F986" s="3">
        <v>684</v>
      </c>
      <c r="G986" s="1">
        <v>7</v>
      </c>
      <c r="H986" s="1" t="s">
        <v>2092</v>
      </c>
      <c r="I986" s="1" t="s">
        <v>1022</v>
      </c>
      <c r="J986" s="1" t="s">
        <v>1023</v>
      </c>
      <c r="K986" s="1" t="s">
        <v>2090</v>
      </c>
      <c r="L986" s="1" t="s">
        <v>1988</v>
      </c>
      <c r="M986">
        <f t="shared" si="105"/>
        <v>900</v>
      </c>
      <c r="N986" t="str">
        <f t="shared" si="106"/>
        <v>1953-05-21</v>
      </c>
      <c r="O986">
        <f t="shared" si="107"/>
        <v>59</v>
      </c>
      <c r="P986" t="str">
        <f t="shared" si="108"/>
        <v>kobieta</v>
      </c>
      <c r="Q986">
        <f t="shared" si="109"/>
        <v>193</v>
      </c>
      <c r="R986">
        <f t="shared" si="110"/>
        <v>16</v>
      </c>
      <c r="S986">
        <f t="shared" ca="1" si="111"/>
        <v>0</v>
      </c>
    </row>
    <row r="987" spans="1:19">
      <c r="A987" s="1" t="s">
        <v>19</v>
      </c>
      <c r="B987" s="2">
        <v>200</v>
      </c>
      <c r="C987" s="1">
        <v>200</v>
      </c>
      <c r="D987" s="1" t="s">
        <v>64</v>
      </c>
      <c r="E987" s="1">
        <v>13</v>
      </c>
      <c r="F987" s="3">
        <v>997</v>
      </c>
      <c r="G987" s="1">
        <v>7</v>
      </c>
      <c r="H987" s="1" t="s">
        <v>2093</v>
      </c>
      <c r="I987" s="1" t="s">
        <v>66</v>
      </c>
      <c r="J987" s="1" t="s">
        <v>16</v>
      </c>
      <c r="K987" s="1" t="s">
        <v>2090</v>
      </c>
      <c r="L987" s="1" t="s">
        <v>1988</v>
      </c>
      <c r="M987">
        <f t="shared" si="105"/>
        <v>200</v>
      </c>
      <c r="N987" t="str">
        <f t="shared" si="106"/>
        <v>1950-01-10</v>
      </c>
      <c r="O987">
        <f t="shared" si="107"/>
        <v>62</v>
      </c>
      <c r="P987" t="str">
        <f t="shared" si="108"/>
        <v>kobieta</v>
      </c>
      <c r="Q987">
        <f t="shared" si="109"/>
        <v>82</v>
      </c>
      <c r="R987">
        <f t="shared" si="110"/>
        <v>48</v>
      </c>
      <c r="S987">
        <f t="shared" ca="1" si="111"/>
        <v>0</v>
      </c>
    </row>
    <row r="988" spans="1:19">
      <c r="A988" s="1" t="s">
        <v>19</v>
      </c>
      <c r="B988" s="2">
        <v>1000</v>
      </c>
      <c r="C988" s="1">
        <v>1000</v>
      </c>
      <c r="D988" s="1" t="s">
        <v>1040</v>
      </c>
      <c r="E988" s="1">
        <v>13</v>
      </c>
      <c r="F988" s="3">
        <v>930</v>
      </c>
      <c r="G988" s="1">
        <v>1</v>
      </c>
      <c r="H988" s="1" t="s">
        <v>2094</v>
      </c>
      <c r="I988" s="1" t="s">
        <v>1042</v>
      </c>
      <c r="J988" s="1" t="s">
        <v>16</v>
      </c>
      <c r="K988" s="1" t="s">
        <v>2090</v>
      </c>
      <c r="L988" s="1" t="s">
        <v>1992</v>
      </c>
      <c r="M988">
        <f t="shared" si="105"/>
        <v>1000</v>
      </c>
      <c r="N988" t="str">
        <f t="shared" si="106"/>
        <v>1946-01-01</v>
      </c>
      <c r="O988">
        <f t="shared" si="107"/>
        <v>66</v>
      </c>
      <c r="P988" t="str">
        <f t="shared" si="108"/>
        <v>kobieta</v>
      </c>
      <c r="Q988">
        <f t="shared" si="109"/>
        <v>134</v>
      </c>
      <c r="R988">
        <f t="shared" si="110"/>
        <v>48</v>
      </c>
      <c r="S988">
        <f t="shared" ca="1" si="111"/>
        <v>0</v>
      </c>
    </row>
    <row r="989" spans="1:19">
      <c r="A989" s="1" t="s">
        <v>19</v>
      </c>
      <c r="B989" s="2">
        <v>200</v>
      </c>
      <c r="C989" s="1">
        <v>200</v>
      </c>
      <c r="D989" s="1" t="s">
        <v>1043</v>
      </c>
      <c r="E989" s="1">
        <v>13</v>
      </c>
      <c r="F989" s="3">
        <v>975</v>
      </c>
      <c r="G989" s="1">
        <v>7</v>
      </c>
      <c r="H989" s="1" t="s">
        <v>2095</v>
      </c>
      <c r="I989" s="1" t="s">
        <v>506</v>
      </c>
      <c r="J989" s="1" t="s">
        <v>16</v>
      </c>
      <c r="K989" s="1" t="s">
        <v>2090</v>
      </c>
      <c r="L989" s="1" t="s">
        <v>2057</v>
      </c>
      <c r="M989">
        <f t="shared" si="105"/>
        <v>200</v>
      </c>
      <c r="N989" t="str">
        <f t="shared" si="106"/>
        <v>1950-02-09</v>
      </c>
      <c r="O989">
        <f t="shared" si="107"/>
        <v>62</v>
      </c>
      <c r="P989" t="str">
        <f t="shared" si="108"/>
        <v>kobieta</v>
      </c>
      <c r="Q989">
        <f t="shared" si="109"/>
        <v>30</v>
      </c>
      <c r="R989">
        <f t="shared" si="110"/>
        <v>48</v>
      </c>
      <c r="S989">
        <f t="shared" ca="1" si="111"/>
        <v>8</v>
      </c>
    </row>
    <row r="990" spans="1:19">
      <c r="A990" s="1" t="s">
        <v>19</v>
      </c>
      <c r="B990" s="2">
        <v>315.12</v>
      </c>
      <c r="C990" s="1">
        <v>315.12</v>
      </c>
      <c r="D990" s="1" t="s">
        <v>989</v>
      </c>
      <c r="E990" s="1">
        <v>13</v>
      </c>
      <c r="F990" s="3">
        <v>960</v>
      </c>
      <c r="G990" s="1">
        <v>7</v>
      </c>
      <c r="H990" s="1" t="s">
        <v>2096</v>
      </c>
      <c r="I990" s="1" t="s">
        <v>991</v>
      </c>
      <c r="J990" s="1" t="s">
        <v>16</v>
      </c>
      <c r="K990" s="1" t="s">
        <v>2090</v>
      </c>
      <c r="L990" s="1" t="s">
        <v>1960</v>
      </c>
      <c r="M990">
        <f t="shared" si="105"/>
        <v>315.12</v>
      </c>
      <c r="N990" t="str">
        <f t="shared" si="106"/>
        <v>1938-08-21</v>
      </c>
      <c r="O990">
        <f t="shared" si="107"/>
        <v>74</v>
      </c>
      <c r="P990" t="str">
        <f t="shared" si="108"/>
        <v>mężczyzna</v>
      </c>
      <c r="Q990">
        <f t="shared" si="109"/>
        <v>143</v>
      </c>
      <c r="R990">
        <f t="shared" si="110"/>
        <v>48</v>
      </c>
      <c r="S990">
        <f t="shared" ca="1" si="111"/>
        <v>1</v>
      </c>
    </row>
    <row r="991" spans="1:19">
      <c r="A991" s="1" t="s">
        <v>19</v>
      </c>
      <c r="B991" s="2">
        <v>200</v>
      </c>
      <c r="C991" s="1">
        <v>200</v>
      </c>
      <c r="D991" s="1" t="s">
        <v>1073</v>
      </c>
      <c r="E991" s="1">
        <v>11</v>
      </c>
      <c r="F991" s="3">
        <v>1800</v>
      </c>
      <c r="G991" s="1">
        <v>7</v>
      </c>
      <c r="H991" s="1" t="s">
        <v>2097</v>
      </c>
      <c r="I991" s="1" t="s">
        <v>706</v>
      </c>
      <c r="J991" s="1" t="s">
        <v>16</v>
      </c>
      <c r="K991" s="1" t="s">
        <v>2090</v>
      </c>
      <c r="L991" s="1" t="s">
        <v>1960</v>
      </c>
      <c r="M991">
        <f t="shared" si="105"/>
        <v>200</v>
      </c>
      <c r="N991" t="str">
        <f t="shared" si="106"/>
        <v>1978-06-03</v>
      </c>
      <c r="O991">
        <f t="shared" si="107"/>
        <v>34</v>
      </c>
      <c r="P991" t="str">
        <f t="shared" si="108"/>
        <v>mężczyzna</v>
      </c>
      <c r="Q991">
        <f t="shared" si="109"/>
        <v>168</v>
      </c>
      <c r="R991">
        <f t="shared" si="110"/>
        <v>48</v>
      </c>
      <c r="S991">
        <f t="shared" ca="1" si="111"/>
        <v>1</v>
      </c>
    </row>
    <row r="992" spans="1:19">
      <c r="A992" s="1" t="s">
        <v>19</v>
      </c>
      <c r="B992" s="2">
        <v>400</v>
      </c>
      <c r="C992" s="1">
        <v>300</v>
      </c>
      <c r="D992" s="1" t="s">
        <v>237</v>
      </c>
      <c r="E992" s="1">
        <v>11</v>
      </c>
      <c r="F992" s="3">
        <v>1286.1600000000001</v>
      </c>
      <c r="G992" s="1">
        <v>0</v>
      </c>
      <c r="H992" s="1" t="s">
        <v>2098</v>
      </c>
      <c r="I992" s="1" t="s">
        <v>239</v>
      </c>
      <c r="J992" s="1" t="s">
        <v>16</v>
      </c>
      <c r="K992" s="1" t="s">
        <v>2090</v>
      </c>
      <c r="L992" s="1" t="s">
        <v>2062</v>
      </c>
      <c r="M992">
        <f t="shared" si="105"/>
        <v>300</v>
      </c>
      <c r="N992" t="str">
        <f t="shared" si="106"/>
        <v>1969-09-09</v>
      </c>
      <c r="O992">
        <f t="shared" si="107"/>
        <v>43</v>
      </c>
      <c r="P992" t="str">
        <f t="shared" si="108"/>
        <v>kobieta</v>
      </c>
      <c r="Q992">
        <f t="shared" si="109"/>
        <v>120</v>
      </c>
      <c r="R992">
        <f t="shared" si="110"/>
        <v>48</v>
      </c>
      <c r="S992">
        <f t="shared" ca="1" si="111"/>
        <v>4</v>
      </c>
    </row>
    <row r="993" spans="1:19">
      <c r="A993" s="1" t="s">
        <v>19</v>
      </c>
      <c r="B993" s="2">
        <v>299.23</v>
      </c>
      <c r="C993" s="1">
        <v>299.23</v>
      </c>
      <c r="D993" s="1" t="s">
        <v>240</v>
      </c>
      <c r="E993" s="1">
        <v>16</v>
      </c>
      <c r="F993" s="3">
        <v>1389</v>
      </c>
      <c r="G993" s="1">
        <v>2</v>
      </c>
      <c r="H993" s="1" t="s">
        <v>2099</v>
      </c>
      <c r="I993" s="1" t="s">
        <v>242</v>
      </c>
      <c r="J993" s="1" t="s">
        <v>16</v>
      </c>
      <c r="K993" s="1" t="s">
        <v>2090</v>
      </c>
      <c r="L993" s="1" t="s">
        <v>1960</v>
      </c>
      <c r="M993">
        <f t="shared" si="105"/>
        <v>299.23</v>
      </c>
      <c r="N993" t="str">
        <f t="shared" si="106"/>
        <v>1948-07-16</v>
      </c>
      <c r="O993">
        <f t="shared" si="107"/>
        <v>64</v>
      </c>
      <c r="P993" t="str">
        <f t="shared" si="108"/>
        <v>kobieta</v>
      </c>
      <c r="Q993">
        <f t="shared" si="109"/>
        <v>94</v>
      </c>
      <c r="R993">
        <f t="shared" si="110"/>
        <v>48</v>
      </c>
      <c r="S993">
        <f t="shared" ca="1" si="111"/>
        <v>1</v>
      </c>
    </row>
    <row r="994" spans="1:19">
      <c r="A994" s="1" t="s">
        <v>19</v>
      </c>
      <c r="B994" s="2">
        <v>500</v>
      </c>
      <c r="C994" s="1">
        <v>500</v>
      </c>
      <c r="D994" s="1" t="s">
        <v>1512</v>
      </c>
      <c r="E994" s="1">
        <v>11</v>
      </c>
      <c r="F994" s="3">
        <v>1870</v>
      </c>
      <c r="G994" s="1">
        <v>0</v>
      </c>
      <c r="H994" s="1" t="s">
        <v>2100</v>
      </c>
      <c r="I994" s="1" t="s">
        <v>1514</v>
      </c>
      <c r="J994" s="1" t="s">
        <v>16</v>
      </c>
      <c r="K994" s="1" t="s">
        <v>2090</v>
      </c>
      <c r="L994" s="1" t="s">
        <v>1992</v>
      </c>
      <c r="M994">
        <f t="shared" si="105"/>
        <v>500</v>
      </c>
      <c r="N994" t="str">
        <f t="shared" si="106"/>
        <v>1970-09-25</v>
      </c>
      <c r="O994">
        <f t="shared" si="107"/>
        <v>42</v>
      </c>
      <c r="P994" t="str">
        <f t="shared" si="108"/>
        <v>kobieta</v>
      </c>
      <c r="Q994">
        <f t="shared" si="109"/>
        <v>113</v>
      </c>
      <c r="R994">
        <f t="shared" si="110"/>
        <v>48</v>
      </c>
      <c r="S994">
        <f t="shared" ca="1" si="111"/>
        <v>0</v>
      </c>
    </row>
    <row r="995" spans="1:19">
      <c r="A995" s="1" t="s">
        <v>19</v>
      </c>
      <c r="B995" s="2">
        <v>700</v>
      </c>
      <c r="C995" s="1">
        <v>700</v>
      </c>
      <c r="D995" s="1" t="s">
        <v>762</v>
      </c>
      <c r="E995" s="1">
        <v>13</v>
      </c>
      <c r="F995" s="3">
        <v>2066</v>
      </c>
      <c r="G995" s="1">
        <v>7</v>
      </c>
      <c r="H995" s="1" t="s">
        <v>2101</v>
      </c>
      <c r="I995" s="1" t="s">
        <v>764</v>
      </c>
      <c r="J995" s="1" t="s">
        <v>16</v>
      </c>
      <c r="K995" s="1" t="s">
        <v>2090</v>
      </c>
      <c r="L995" s="1" t="s">
        <v>1960</v>
      </c>
      <c r="M995">
        <f t="shared" si="105"/>
        <v>700</v>
      </c>
      <c r="N995" t="str">
        <f t="shared" si="106"/>
        <v>1950-03-18</v>
      </c>
      <c r="O995">
        <f t="shared" si="107"/>
        <v>62</v>
      </c>
      <c r="P995" t="str">
        <f t="shared" si="108"/>
        <v>kobieta</v>
      </c>
      <c r="Q995">
        <f t="shared" si="109"/>
        <v>132</v>
      </c>
      <c r="R995">
        <f t="shared" si="110"/>
        <v>48</v>
      </c>
      <c r="S995">
        <f t="shared" ca="1" si="111"/>
        <v>1</v>
      </c>
    </row>
    <row r="996" spans="1:19">
      <c r="A996" s="1" t="s">
        <v>19</v>
      </c>
      <c r="B996" s="2">
        <v>265.58</v>
      </c>
      <c r="C996" s="1">
        <v>265.58</v>
      </c>
      <c r="D996" s="1" t="s">
        <v>1086</v>
      </c>
      <c r="E996" s="1">
        <v>13</v>
      </c>
      <c r="F996" s="3">
        <v>1189</v>
      </c>
      <c r="G996" s="1">
        <v>7</v>
      </c>
      <c r="H996" s="1" t="s">
        <v>2102</v>
      </c>
      <c r="I996" s="1" t="s">
        <v>303</v>
      </c>
      <c r="J996" s="1" t="s">
        <v>16</v>
      </c>
      <c r="K996" s="1" t="s">
        <v>2090</v>
      </c>
      <c r="L996" s="1" t="s">
        <v>1960</v>
      </c>
      <c r="M996">
        <f t="shared" si="105"/>
        <v>265.58</v>
      </c>
      <c r="N996" t="str">
        <f t="shared" si="106"/>
        <v>1949-12-01</v>
      </c>
      <c r="O996">
        <f t="shared" si="107"/>
        <v>63</v>
      </c>
      <c r="P996" t="str">
        <f t="shared" si="108"/>
        <v>kobieta</v>
      </c>
      <c r="Q996">
        <f t="shared" si="109"/>
        <v>73</v>
      </c>
      <c r="R996">
        <f t="shared" si="110"/>
        <v>48</v>
      </c>
      <c r="S996">
        <f t="shared" ca="1" si="111"/>
        <v>1</v>
      </c>
    </row>
    <row r="997" spans="1:19">
      <c r="A997" s="1" t="s">
        <v>19</v>
      </c>
      <c r="B997" s="2">
        <v>300</v>
      </c>
      <c r="C997" s="1">
        <v>300</v>
      </c>
      <c r="D997" s="1" t="s">
        <v>817</v>
      </c>
      <c r="E997" s="1">
        <v>13</v>
      </c>
      <c r="F997" s="3">
        <v>562</v>
      </c>
      <c r="G997" s="1">
        <v>3</v>
      </c>
      <c r="H997" s="1" t="s">
        <v>2103</v>
      </c>
      <c r="I997" s="1" t="s">
        <v>474</v>
      </c>
      <c r="J997" s="1" t="s">
        <v>16</v>
      </c>
      <c r="K997" s="1" t="s">
        <v>2090</v>
      </c>
      <c r="L997" s="1" t="s">
        <v>1960</v>
      </c>
      <c r="M997">
        <f t="shared" si="105"/>
        <v>300</v>
      </c>
      <c r="N997" t="str">
        <f t="shared" si="106"/>
        <v>1940-08-21</v>
      </c>
      <c r="O997">
        <f t="shared" si="107"/>
        <v>72</v>
      </c>
      <c r="P997" t="str">
        <f t="shared" si="108"/>
        <v>mężczyzna</v>
      </c>
      <c r="Q997">
        <f t="shared" si="109"/>
        <v>84</v>
      </c>
      <c r="R997">
        <f t="shared" si="110"/>
        <v>48</v>
      </c>
      <c r="S997">
        <f t="shared" ca="1" si="111"/>
        <v>1</v>
      </c>
    </row>
    <row r="998" spans="1:19">
      <c r="A998" s="1" t="s">
        <v>19</v>
      </c>
      <c r="B998" s="2">
        <v>996</v>
      </c>
      <c r="C998" s="1">
        <v>996</v>
      </c>
      <c r="D998" s="1" t="s">
        <v>903</v>
      </c>
      <c r="E998" s="1">
        <v>11</v>
      </c>
      <c r="F998" s="3">
        <v>2500</v>
      </c>
      <c r="G998" s="1">
        <v>3</v>
      </c>
      <c r="H998" s="1" t="s">
        <v>2104</v>
      </c>
      <c r="I998" s="1" t="s">
        <v>905</v>
      </c>
      <c r="J998" s="1" t="s">
        <v>16</v>
      </c>
      <c r="K998" s="1" t="s">
        <v>2090</v>
      </c>
      <c r="L998" s="1" t="s">
        <v>1960</v>
      </c>
      <c r="M998">
        <f t="shared" si="105"/>
        <v>996</v>
      </c>
      <c r="N998" t="str">
        <f t="shared" si="106"/>
        <v>1964-01-25</v>
      </c>
      <c r="O998">
        <f t="shared" si="107"/>
        <v>48</v>
      </c>
      <c r="P998" t="str">
        <f t="shared" si="108"/>
        <v>mężczyzna</v>
      </c>
      <c r="Q998">
        <f t="shared" si="109"/>
        <v>207</v>
      </c>
      <c r="R998">
        <f t="shared" si="110"/>
        <v>48</v>
      </c>
      <c r="S998">
        <f t="shared" ca="1" si="111"/>
        <v>1</v>
      </c>
    </row>
    <row r="999" spans="1:19">
      <c r="A999" s="1" t="s">
        <v>19</v>
      </c>
      <c r="B999" s="2">
        <v>237.13</v>
      </c>
      <c r="C999" s="1">
        <v>237.13</v>
      </c>
      <c r="D999" s="1" t="s">
        <v>1071</v>
      </c>
      <c r="E999" s="1">
        <v>16</v>
      </c>
      <c r="F999" s="3">
        <v>1045.5999999999999</v>
      </c>
      <c r="G999" s="1">
        <v>8</v>
      </c>
      <c r="H999" s="1" t="s">
        <v>2105</v>
      </c>
      <c r="I999" s="1" t="s">
        <v>395</v>
      </c>
      <c r="J999" s="1" t="s">
        <v>16</v>
      </c>
      <c r="K999" s="1" t="s">
        <v>2090</v>
      </c>
      <c r="L999" s="1" t="s">
        <v>1960</v>
      </c>
      <c r="M999">
        <f t="shared" si="105"/>
        <v>237.13</v>
      </c>
      <c r="N999" t="str">
        <f t="shared" si="106"/>
        <v>1957-10-24</v>
      </c>
      <c r="O999">
        <f t="shared" si="107"/>
        <v>55</v>
      </c>
      <c r="P999" t="str">
        <f t="shared" si="108"/>
        <v>kobieta</v>
      </c>
      <c r="Q999">
        <f t="shared" si="109"/>
        <v>15</v>
      </c>
      <c r="R999">
        <f t="shared" si="110"/>
        <v>48</v>
      </c>
      <c r="S999">
        <f t="shared" ca="1" si="111"/>
        <v>1</v>
      </c>
    </row>
    <row r="1000" spans="1:19">
      <c r="A1000" s="1" t="s">
        <v>19</v>
      </c>
      <c r="B1000" s="2">
        <v>200</v>
      </c>
      <c r="C1000" s="1">
        <v>200</v>
      </c>
      <c r="D1000" s="1" t="s">
        <v>1024</v>
      </c>
      <c r="E1000" s="1">
        <v>11</v>
      </c>
      <c r="F1000" s="3">
        <v>1460.17</v>
      </c>
      <c r="G1000" s="1">
        <v>4</v>
      </c>
      <c r="H1000" s="1" t="s">
        <v>2106</v>
      </c>
      <c r="I1000" s="1" t="s">
        <v>1026</v>
      </c>
      <c r="J1000" s="1" t="s">
        <v>16</v>
      </c>
      <c r="K1000" s="1" t="s">
        <v>2090</v>
      </c>
      <c r="L1000" s="1" t="s">
        <v>1960</v>
      </c>
      <c r="M1000">
        <f t="shared" si="105"/>
        <v>200</v>
      </c>
      <c r="N1000" t="str">
        <f t="shared" si="106"/>
        <v>1956-12-09</v>
      </c>
      <c r="O1000">
        <f t="shared" si="107"/>
        <v>56</v>
      </c>
      <c r="P1000" t="str">
        <f t="shared" si="108"/>
        <v>mężczyzna</v>
      </c>
      <c r="Q1000">
        <f t="shared" si="109"/>
        <v>64</v>
      </c>
      <c r="R1000">
        <f t="shared" si="110"/>
        <v>48</v>
      </c>
      <c r="S1000">
        <f t="shared" ca="1" si="111"/>
        <v>1</v>
      </c>
    </row>
    <row r="1001" spans="1:19">
      <c r="A1001" s="1" t="s">
        <v>12</v>
      </c>
      <c r="B1001" s="2">
        <v>281.83999999999997</v>
      </c>
      <c r="C1001" s="1">
        <v>281.83999999999997</v>
      </c>
      <c r="D1001" s="1" t="s">
        <v>793</v>
      </c>
      <c r="E1001" s="1">
        <v>12</v>
      </c>
      <c r="F1001" s="3">
        <v>1032</v>
      </c>
      <c r="G1001" s="1">
        <v>7</v>
      </c>
      <c r="H1001" s="1" t="s">
        <v>2107</v>
      </c>
      <c r="I1001" s="1" t="s">
        <v>795</v>
      </c>
      <c r="J1001" s="1" t="s">
        <v>2108</v>
      </c>
      <c r="K1001" s="1" t="s">
        <v>2090</v>
      </c>
      <c r="L1001" s="1" t="s">
        <v>2091</v>
      </c>
      <c r="M1001">
        <f t="shared" si="105"/>
        <v>281.83999999999997</v>
      </c>
      <c r="N1001" t="str">
        <f t="shared" si="106"/>
        <v>1965-11-24</v>
      </c>
      <c r="O1001">
        <f t="shared" si="107"/>
        <v>47</v>
      </c>
      <c r="P1001" t="str">
        <f t="shared" si="108"/>
        <v>kobieta</v>
      </c>
      <c r="Q1001">
        <f t="shared" si="109"/>
        <v>41</v>
      </c>
      <c r="R1001">
        <f t="shared" si="110"/>
        <v>11</v>
      </c>
      <c r="S1001">
        <f t="shared" ca="1" si="111"/>
        <v>12</v>
      </c>
    </row>
    <row r="1002" spans="1:19">
      <c r="A1002" s="1" t="s">
        <v>19</v>
      </c>
      <c r="B1002" s="2">
        <v>300</v>
      </c>
      <c r="C1002" s="1">
        <v>300</v>
      </c>
      <c r="D1002" s="1" t="s">
        <v>1632</v>
      </c>
      <c r="E1002" s="1">
        <v>12</v>
      </c>
      <c r="F1002" s="3">
        <v>1896</v>
      </c>
      <c r="G1002" s="1">
        <v>1</v>
      </c>
      <c r="H1002" s="1" t="s">
        <v>2109</v>
      </c>
      <c r="I1002" s="1" t="s">
        <v>1634</v>
      </c>
      <c r="J1002" s="1" t="s">
        <v>90</v>
      </c>
      <c r="K1002" s="1" t="s">
        <v>2090</v>
      </c>
      <c r="L1002" s="1" t="s">
        <v>2110</v>
      </c>
      <c r="M1002">
        <f t="shared" si="105"/>
        <v>300</v>
      </c>
      <c r="N1002" t="str">
        <f t="shared" si="106"/>
        <v>1971-12-26</v>
      </c>
      <c r="O1002">
        <f t="shared" si="107"/>
        <v>41</v>
      </c>
      <c r="P1002" t="str">
        <f t="shared" si="108"/>
        <v>kobieta</v>
      </c>
      <c r="Q1002">
        <f t="shared" si="109"/>
        <v>16</v>
      </c>
      <c r="R1002">
        <f t="shared" si="110"/>
        <v>0</v>
      </c>
      <c r="S1002">
        <f t="shared" ca="1" si="111"/>
        <v>5</v>
      </c>
    </row>
    <row r="1003" spans="1:19">
      <c r="A1003" s="1" t="s">
        <v>19</v>
      </c>
      <c r="B1003" s="2">
        <v>300</v>
      </c>
      <c r="C1003" s="1">
        <v>300</v>
      </c>
      <c r="D1003" s="1" t="s">
        <v>1075</v>
      </c>
      <c r="E1003" s="1">
        <v>12</v>
      </c>
      <c r="F1003" s="3">
        <v>1027</v>
      </c>
      <c r="G1003" s="1">
        <v>7</v>
      </c>
      <c r="H1003" s="1" t="s">
        <v>2111</v>
      </c>
      <c r="I1003" s="1" t="s">
        <v>1077</v>
      </c>
      <c r="J1003" s="1" t="s">
        <v>1078</v>
      </c>
      <c r="K1003" s="1" t="s">
        <v>2090</v>
      </c>
      <c r="L1003" s="1" t="s">
        <v>2062</v>
      </c>
      <c r="M1003">
        <f t="shared" si="105"/>
        <v>300</v>
      </c>
      <c r="N1003" t="str">
        <f t="shared" si="106"/>
        <v>1972-05-12</v>
      </c>
      <c r="O1003">
        <f t="shared" si="107"/>
        <v>40</v>
      </c>
      <c r="P1003" t="str">
        <f t="shared" si="108"/>
        <v>kobieta</v>
      </c>
      <c r="Q1003">
        <f t="shared" si="109"/>
        <v>12</v>
      </c>
      <c r="R1003">
        <f t="shared" si="110"/>
        <v>48</v>
      </c>
      <c r="S1003">
        <f t="shared" ca="1" si="111"/>
        <v>4</v>
      </c>
    </row>
    <row r="1004" spans="1:19">
      <c r="A1004" s="1" t="s">
        <v>19</v>
      </c>
      <c r="B1004" s="2">
        <v>200</v>
      </c>
      <c r="C1004" s="1">
        <v>200</v>
      </c>
      <c r="D1004" s="1" t="s">
        <v>932</v>
      </c>
      <c r="E1004" s="1">
        <v>11</v>
      </c>
      <c r="F1004" s="3">
        <v>2284.23</v>
      </c>
      <c r="G1004" s="1">
        <v>2</v>
      </c>
      <c r="H1004" s="1" t="s">
        <v>2112</v>
      </c>
      <c r="I1004" s="1" t="s">
        <v>934</v>
      </c>
      <c r="J1004" s="1" t="s">
        <v>16</v>
      </c>
      <c r="K1004" s="1" t="s">
        <v>2090</v>
      </c>
      <c r="L1004" s="1" t="s">
        <v>1960</v>
      </c>
      <c r="M1004">
        <f t="shared" si="105"/>
        <v>200</v>
      </c>
      <c r="N1004" t="str">
        <f t="shared" si="106"/>
        <v>1968-10-04</v>
      </c>
      <c r="O1004">
        <f t="shared" si="107"/>
        <v>44</v>
      </c>
      <c r="P1004" t="str">
        <f t="shared" si="108"/>
        <v>mężczyzna</v>
      </c>
      <c r="Q1004">
        <f t="shared" si="109"/>
        <v>303</v>
      </c>
      <c r="R1004">
        <f t="shared" si="110"/>
        <v>48</v>
      </c>
      <c r="S1004">
        <f t="shared" ca="1" si="111"/>
        <v>1</v>
      </c>
    </row>
    <row r="1005" spans="1:19">
      <c r="A1005" s="1" t="s">
        <v>19</v>
      </c>
      <c r="B1005" s="2">
        <v>325.58</v>
      </c>
      <c r="C1005" s="1">
        <v>325.58</v>
      </c>
      <c r="D1005" s="1" t="s">
        <v>1467</v>
      </c>
      <c r="E1005" s="1">
        <v>11</v>
      </c>
      <c r="F1005" s="3">
        <v>2065.98</v>
      </c>
      <c r="G1005" s="1">
        <v>0</v>
      </c>
      <c r="H1005" s="1" t="s">
        <v>2113</v>
      </c>
      <c r="I1005" s="1" t="s">
        <v>1469</v>
      </c>
      <c r="J1005" s="1" t="s">
        <v>16</v>
      </c>
      <c r="K1005" s="1" t="s">
        <v>2090</v>
      </c>
      <c r="L1005" s="1" t="s">
        <v>2110</v>
      </c>
      <c r="M1005">
        <f t="shared" si="105"/>
        <v>325.58</v>
      </c>
      <c r="N1005" t="str">
        <f t="shared" si="106"/>
        <v>1959-10-17</v>
      </c>
      <c r="O1005">
        <f t="shared" si="107"/>
        <v>53</v>
      </c>
      <c r="P1005" t="str">
        <f t="shared" si="108"/>
        <v>kobieta</v>
      </c>
      <c r="Q1005">
        <f t="shared" si="109"/>
        <v>182</v>
      </c>
      <c r="R1005">
        <f t="shared" si="110"/>
        <v>48</v>
      </c>
      <c r="S1005">
        <f t="shared" ca="1" si="111"/>
        <v>5</v>
      </c>
    </row>
    <row r="1006" spans="1:19">
      <c r="A1006" s="1" t="s">
        <v>12</v>
      </c>
      <c r="B1006" s="2">
        <v>286.26</v>
      </c>
      <c r="C1006" s="1">
        <v>286.26</v>
      </c>
      <c r="D1006" s="1" t="s">
        <v>282</v>
      </c>
      <c r="E1006" s="1">
        <v>11</v>
      </c>
      <c r="F1006" s="3">
        <v>1400</v>
      </c>
      <c r="G1006" s="1">
        <v>0</v>
      </c>
      <c r="H1006" s="1" t="s">
        <v>2114</v>
      </c>
      <c r="I1006" s="1" t="s">
        <v>284</v>
      </c>
      <c r="J1006" s="1" t="s">
        <v>16</v>
      </c>
      <c r="K1006" s="1" t="s">
        <v>2090</v>
      </c>
      <c r="L1006" s="1" t="s">
        <v>2115</v>
      </c>
      <c r="M1006">
        <f t="shared" si="105"/>
        <v>286.26</v>
      </c>
      <c r="N1006" t="str">
        <f t="shared" si="106"/>
        <v>1962-02-25</v>
      </c>
      <c r="O1006">
        <f t="shared" si="107"/>
        <v>50</v>
      </c>
      <c r="P1006" t="str">
        <f t="shared" si="108"/>
        <v>mężczyzna</v>
      </c>
      <c r="Q1006">
        <f t="shared" si="109"/>
        <v>17</v>
      </c>
      <c r="R1006">
        <f t="shared" si="110"/>
        <v>48</v>
      </c>
      <c r="S1006">
        <f t="shared" ca="1" si="111"/>
        <v>203</v>
      </c>
    </row>
    <row r="1007" spans="1:19">
      <c r="A1007" s="1" t="s">
        <v>19</v>
      </c>
      <c r="B1007" s="2">
        <v>497.15</v>
      </c>
      <c r="C1007" s="1">
        <v>497.15</v>
      </c>
      <c r="D1007" s="1" t="s">
        <v>1045</v>
      </c>
      <c r="E1007" s="1">
        <v>12</v>
      </c>
      <c r="F1007" s="3">
        <v>600</v>
      </c>
      <c r="G1007" s="1">
        <v>8</v>
      </c>
      <c r="H1007" s="1" t="s">
        <v>2116</v>
      </c>
      <c r="I1007" s="1" t="s">
        <v>1047</v>
      </c>
      <c r="J1007" s="1" t="s">
        <v>1048</v>
      </c>
      <c r="K1007" s="1" t="s">
        <v>2090</v>
      </c>
      <c r="L1007" s="1" t="s">
        <v>1960</v>
      </c>
      <c r="M1007">
        <f t="shared" si="105"/>
        <v>497.15</v>
      </c>
      <c r="N1007" t="str">
        <f t="shared" si="106"/>
        <v>1964-03-31</v>
      </c>
      <c r="O1007">
        <f t="shared" si="107"/>
        <v>48</v>
      </c>
      <c r="P1007" t="str">
        <f t="shared" si="108"/>
        <v>mężczyzna</v>
      </c>
      <c r="Q1007">
        <f t="shared" si="109"/>
        <v>12</v>
      </c>
      <c r="R1007">
        <f t="shared" si="110"/>
        <v>15</v>
      </c>
      <c r="S1007">
        <f t="shared" ca="1" si="111"/>
        <v>1</v>
      </c>
    </row>
    <row r="1008" spans="1:19">
      <c r="A1008" s="1" t="s">
        <v>12</v>
      </c>
      <c r="B1008" s="2">
        <v>300</v>
      </c>
      <c r="C1008" s="1">
        <v>300</v>
      </c>
      <c r="D1008" s="1" t="s">
        <v>44</v>
      </c>
      <c r="E1008" s="1">
        <v>17</v>
      </c>
      <c r="F1008" s="3">
        <v>864.6</v>
      </c>
      <c r="G1008" s="1">
        <v>1</v>
      </c>
      <c r="H1008" s="1" t="s">
        <v>2117</v>
      </c>
      <c r="I1008" s="1" t="s">
        <v>46</v>
      </c>
      <c r="J1008" s="1" t="s">
        <v>47</v>
      </c>
      <c r="K1008" s="1" t="s">
        <v>2118</v>
      </c>
      <c r="L1008" s="1" t="s">
        <v>2119</v>
      </c>
      <c r="M1008">
        <f t="shared" si="105"/>
        <v>300</v>
      </c>
      <c r="N1008" t="str">
        <f t="shared" si="106"/>
        <v>1957-12-19</v>
      </c>
      <c r="O1008">
        <f t="shared" si="107"/>
        <v>55</v>
      </c>
      <c r="P1008" t="str">
        <f t="shared" si="108"/>
        <v>kobieta</v>
      </c>
      <c r="Q1008">
        <f t="shared" si="109"/>
        <v>5</v>
      </c>
      <c r="R1008">
        <f t="shared" si="110"/>
        <v>2</v>
      </c>
      <c r="S1008">
        <f t="shared" ca="1" si="111"/>
        <v>14</v>
      </c>
    </row>
    <row r="1009" spans="1:19">
      <c r="A1009" s="1" t="s">
        <v>19</v>
      </c>
      <c r="B1009" s="2">
        <v>700</v>
      </c>
      <c r="C1009" s="1">
        <v>700</v>
      </c>
      <c r="D1009" s="1" t="s">
        <v>1458</v>
      </c>
      <c r="E1009" s="1">
        <v>13</v>
      </c>
      <c r="F1009" s="3">
        <v>1431</v>
      </c>
      <c r="G1009" s="1">
        <v>0</v>
      </c>
      <c r="H1009" s="1" t="s">
        <v>2120</v>
      </c>
      <c r="I1009" s="1" t="s">
        <v>1460</v>
      </c>
      <c r="J1009" s="1" t="s">
        <v>16</v>
      </c>
      <c r="K1009" s="1" t="s">
        <v>2118</v>
      </c>
      <c r="L1009" s="1" t="s">
        <v>2057</v>
      </c>
      <c r="M1009">
        <f t="shared" si="105"/>
        <v>700</v>
      </c>
      <c r="N1009" t="str">
        <f t="shared" si="106"/>
        <v>1944-01-10</v>
      </c>
      <c r="O1009">
        <f t="shared" si="107"/>
        <v>68</v>
      </c>
      <c r="P1009" t="str">
        <f t="shared" si="108"/>
        <v>kobieta</v>
      </c>
      <c r="Q1009">
        <f t="shared" si="109"/>
        <v>250</v>
      </c>
      <c r="R1009">
        <f t="shared" si="110"/>
        <v>48</v>
      </c>
      <c r="S1009">
        <f t="shared" ca="1" si="111"/>
        <v>7</v>
      </c>
    </row>
    <row r="1010" spans="1:19">
      <c r="A1010" s="1" t="s">
        <v>19</v>
      </c>
      <c r="B1010" s="2">
        <v>684.58</v>
      </c>
      <c r="C1010" s="1">
        <v>684.58</v>
      </c>
      <c r="D1010" s="1" t="s">
        <v>1684</v>
      </c>
      <c r="E1010" s="1">
        <v>13</v>
      </c>
      <c r="F1010" s="3">
        <v>2534</v>
      </c>
      <c r="G1010" s="1">
        <v>1</v>
      </c>
      <c r="H1010" s="1" t="s">
        <v>2121</v>
      </c>
      <c r="I1010" s="1" t="s">
        <v>1686</v>
      </c>
      <c r="J1010" s="1" t="s">
        <v>16</v>
      </c>
      <c r="K1010" s="1" t="s">
        <v>2118</v>
      </c>
      <c r="L1010" s="1" t="s">
        <v>1992</v>
      </c>
      <c r="M1010">
        <f t="shared" si="105"/>
        <v>684.58</v>
      </c>
      <c r="N1010" t="str">
        <f t="shared" si="106"/>
        <v>1939-11-15</v>
      </c>
      <c r="O1010">
        <f t="shared" si="107"/>
        <v>73</v>
      </c>
      <c r="P1010" t="str">
        <f t="shared" si="108"/>
        <v>kobieta</v>
      </c>
      <c r="Q1010">
        <f t="shared" si="109"/>
        <v>130</v>
      </c>
      <c r="R1010">
        <f t="shared" si="110"/>
        <v>48</v>
      </c>
      <c r="S1010">
        <f t="shared" ca="1" si="111"/>
        <v>0</v>
      </c>
    </row>
    <row r="1011" spans="1:19">
      <c r="A1011" s="1" t="s">
        <v>12</v>
      </c>
      <c r="B1011" s="2">
        <v>500</v>
      </c>
      <c r="C1011" s="1">
        <v>500</v>
      </c>
      <c r="D1011" s="1" t="s">
        <v>969</v>
      </c>
      <c r="E1011" s="1">
        <v>16</v>
      </c>
      <c r="F1011" s="3">
        <v>837</v>
      </c>
      <c r="G1011" s="1">
        <v>0</v>
      </c>
      <c r="H1011" s="1" t="s">
        <v>2122</v>
      </c>
      <c r="I1011" s="1" t="s">
        <v>971</v>
      </c>
      <c r="J1011" s="1" t="s">
        <v>16</v>
      </c>
      <c r="K1011" s="1" t="s">
        <v>2118</v>
      </c>
      <c r="L1011" s="1" t="s">
        <v>1778</v>
      </c>
      <c r="M1011">
        <f t="shared" si="105"/>
        <v>500</v>
      </c>
      <c r="N1011" t="str">
        <f t="shared" si="106"/>
        <v>1950-11-07</v>
      </c>
      <c r="O1011">
        <f t="shared" si="107"/>
        <v>62</v>
      </c>
      <c r="P1011" t="str">
        <f t="shared" si="108"/>
        <v>mężczyzna</v>
      </c>
      <c r="Q1011">
        <f t="shared" si="109"/>
        <v>234</v>
      </c>
      <c r="R1011">
        <f t="shared" si="110"/>
        <v>48</v>
      </c>
      <c r="S1011">
        <f t="shared" ca="1" si="111"/>
        <v>0</v>
      </c>
    </row>
    <row r="1012" spans="1:19">
      <c r="A1012" s="1" t="s">
        <v>19</v>
      </c>
      <c r="B1012" s="2">
        <v>300</v>
      </c>
      <c r="C1012" s="1">
        <v>300</v>
      </c>
      <c r="D1012" s="1" t="s">
        <v>862</v>
      </c>
      <c r="E1012" s="1">
        <v>13</v>
      </c>
      <c r="F1012" s="3">
        <v>1420</v>
      </c>
      <c r="G1012" s="1">
        <v>1</v>
      </c>
      <c r="H1012" s="1" t="s">
        <v>2123</v>
      </c>
      <c r="I1012" s="1" t="s">
        <v>864</v>
      </c>
      <c r="J1012" s="1" t="s">
        <v>16</v>
      </c>
      <c r="K1012" s="1" t="s">
        <v>2118</v>
      </c>
      <c r="L1012" s="1" t="s">
        <v>1960</v>
      </c>
      <c r="M1012">
        <f t="shared" si="105"/>
        <v>300</v>
      </c>
      <c r="N1012" t="str">
        <f t="shared" si="106"/>
        <v>1941-01-07</v>
      </c>
      <c r="O1012">
        <f t="shared" si="107"/>
        <v>71</v>
      </c>
      <c r="P1012" t="str">
        <f t="shared" si="108"/>
        <v>mężczyzna</v>
      </c>
      <c r="Q1012">
        <f t="shared" si="109"/>
        <v>56</v>
      </c>
      <c r="R1012">
        <f t="shared" si="110"/>
        <v>48</v>
      </c>
      <c r="S1012">
        <f t="shared" ca="1" si="111"/>
        <v>0</v>
      </c>
    </row>
    <row r="1013" spans="1:19">
      <c r="A1013" s="1" t="s">
        <v>24</v>
      </c>
      <c r="B1013" s="2">
        <v>300</v>
      </c>
      <c r="C1013" s="1">
        <v>0</v>
      </c>
      <c r="D1013" s="1" t="s">
        <v>2124</v>
      </c>
      <c r="E1013" s="1">
        <v>99</v>
      </c>
      <c r="F1013" s="3">
        <v>1100</v>
      </c>
      <c r="G1013" s="1">
        <v>0</v>
      </c>
      <c r="H1013" s="1" t="s">
        <v>2125</v>
      </c>
      <c r="I1013" s="1" t="s">
        <v>27</v>
      </c>
      <c r="J1013" s="1" t="s">
        <v>1815</v>
      </c>
      <c r="K1013" s="1" t="s">
        <v>16</v>
      </c>
      <c r="L1013" s="1" t="s">
        <v>28</v>
      </c>
      <c r="M1013">
        <f t="shared" si="105"/>
        <v>300</v>
      </c>
      <c r="N1013" t="str">
        <f t="shared" si="106"/>
        <v>1989-04-04</v>
      </c>
      <c r="O1013">
        <f t="shared" si="107"/>
        <v>23</v>
      </c>
      <c r="P1013" t="str">
        <f t="shared" si="108"/>
        <v>mężczyzna</v>
      </c>
      <c r="Q1013">
        <f t="shared" si="109"/>
        <v>6</v>
      </c>
      <c r="R1013">
        <f t="shared" si="110"/>
        <v>1</v>
      </c>
      <c r="S1013">
        <f t="shared" ca="1" si="111"/>
        <v>0</v>
      </c>
    </row>
    <row r="1014" spans="1:19">
      <c r="A1014" s="1" t="s">
        <v>309</v>
      </c>
      <c r="B1014" s="2">
        <v>500</v>
      </c>
      <c r="C1014" s="1">
        <v>500</v>
      </c>
      <c r="D1014" s="1" t="s">
        <v>1269</v>
      </c>
      <c r="E1014" s="1">
        <v>11</v>
      </c>
      <c r="F1014" s="3">
        <v>2180.09</v>
      </c>
      <c r="G1014" s="1">
        <v>0</v>
      </c>
      <c r="H1014" s="1" t="s">
        <v>2126</v>
      </c>
      <c r="I1014" s="1" t="s">
        <v>1271</v>
      </c>
      <c r="J1014" s="1" t="s">
        <v>16</v>
      </c>
      <c r="K1014" s="1" t="s">
        <v>2118</v>
      </c>
      <c r="L1014" s="1" t="s">
        <v>1831</v>
      </c>
      <c r="M1014">
        <f t="shared" si="105"/>
        <v>500</v>
      </c>
      <c r="N1014" t="str">
        <f t="shared" si="106"/>
        <v>1980-10-10</v>
      </c>
      <c r="O1014">
        <f t="shared" si="107"/>
        <v>32</v>
      </c>
      <c r="P1014" t="str">
        <f t="shared" si="108"/>
        <v>mężczyzna</v>
      </c>
      <c r="Q1014">
        <f t="shared" si="109"/>
        <v>53</v>
      </c>
      <c r="R1014">
        <f t="shared" si="110"/>
        <v>48</v>
      </c>
      <c r="S1014">
        <f t="shared" ca="1" si="111"/>
        <v>278</v>
      </c>
    </row>
    <row r="1015" spans="1:19">
      <c r="A1015" s="1" t="s">
        <v>19</v>
      </c>
      <c r="B1015" s="2">
        <v>500</v>
      </c>
      <c r="C1015" s="1">
        <v>500</v>
      </c>
      <c r="D1015" s="1" t="s">
        <v>1049</v>
      </c>
      <c r="E1015" s="1">
        <v>11</v>
      </c>
      <c r="F1015" s="3">
        <v>1320</v>
      </c>
      <c r="G1015" s="1">
        <v>7</v>
      </c>
      <c r="H1015" s="1" t="s">
        <v>2127</v>
      </c>
      <c r="I1015" s="1" t="s">
        <v>739</v>
      </c>
      <c r="J1015" s="1" t="s">
        <v>16</v>
      </c>
      <c r="K1015" s="1" t="s">
        <v>2118</v>
      </c>
      <c r="L1015" s="1" t="s">
        <v>1960</v>
      </c>
      <c r="M1015">
        <f t="shared" si="105"/>
        <v>500</v>
      </c>
      <c r="N1015" t="str">
        <f t="shared" si="106"/>
        <v>1958-09-17</v>
      </c>
      <c r="O1015">
        <f t="shared" si="107"/>
        <v>54</v>
      </c>
      <c r="P1015" t="str">
        <f t="shared" si="108"/>
        <v>mężczyzna</v>
      </c>
      <c r="Q1015">
        <f t="shared" si="109"/>
        <v>345</v>
      </c>
      <c r="R1015">
        <f t="shared" si="110"/>
        <v>48</v>
      </c>
      <c r="S1015">
        <f t="shared" ca="1" si="111"/>
        <v>0</v>
      </c>
    </row>
    <row r="1016" spans="1:19">
      <c r="A1016" s="1" t="s">
        <v>19</v>
      </c>
      <c r="B1016" s="2">
        <v>300</v>
      </c>
      <c r="C1016" s="1">
        <v>300</v>
      </c>
      <c r="D1016" s="1" t="s">
        <v>820</v>
      </c>
      <c r="E1016" s="1">
        <v>11</v>
      </c>
      <c r="F1016" s="3">
        <v>900</v>
      </c>
      <c r="G1016" s="1">
        <v>7</v>
      </c>
      <c r="H1016" s="1" t="s">
        <v>2128</v>
      </c>
      <c r="I1016" s="1" t="s">
        <v>822</v>
      </c>
      <c r="J1016" s="1" t="s">
        <v>16</v>
      </c>
      <c r="K1016" s="1" t="s">
        <v>2118</v>
      </c>
      <c r="L1016" s="1" t="s">
        <v>2110</v>
      </c>
      <c r="M1016">
        <f t="shared" si="105"/>
        <v>300</v>
      </c>
      <c r="N1016" t="str">
        <f t="shared" si="106"/>
        <v>1965-10-26</v>
      </c>
      <c r="O1016">
        <f t="shared" si="107"/>
        <v>47</v>
      </c>
      <c r="P1016" t="str">
        <f t="shared" si="108"/>
        <v>kobieta</v>
      </c>
      <c r="Q1016">
        <f t="shared" si="109"/>
        <v>96</v>
      </c>
      <c r="R1016">
        <f t="shared" si="110"/>
        <v>48</v>
      </c>
      <c r="S1016">
        <f t="shared" ca="1" si="111"/>
        <v>4</v>
      </c>
    </row>
    <row r="1017" spans="1:19">
      <c r="A1017" s="1" t="s">
        <v>19</v>
      </c>
      <c r="B1017" s="2">
        <v>330.11</v>
      </c>
      <c r="C1017" s="1">
        <v>330.11</v>
      </c>
      <c r="D1017" s="1" t="s">
        <v>952</v>
      </c>
      <c r="E1017" s="1">
        <v>13</v>
      </c>
      <c r="F1017" s="3">
        <v>840</v>
      </c>
      <c r="G1017" s="1">
        <v>5</v>
      </c>
      <c r="H1017" s="1" t="s">
        <v>2129</v>
      </c>
      <c r="I1017" s="1" t="s">
        <v>951</v>
      </c>
      <c r="J1017" s="1" t="s">
        <v>16</v>
      </c>
      <c r="K1017" s="1" t="s">
        <v>2118</v>
      </c>
      <c r="L1017" s="1" t="s">
        <v>2130</v>
      </c>
      <c r="M1017">
        <f t="shared" si="105"/>
        <v>330.11</v>
      </c>
      <c r="N1017" t="str">
        <f t="shared" si="106"/>
        <v>1947-03-19</v>
      </c>
      <c r="O1017">
        <f t="shared" si="107"/>
        <v>65</v>
      </c>
      <c r="P1017" t="str">
        <f t="shared" si="108"/>
        <v>kobieta</v>
      </c>
      <c r="Q1017">
        <f t="shared" si="109"/>
        <v>116</v>
      </c>
      <c r="R1017">
        <f t="shared" si="110"/>
        <v>48</v>
      </c>
      <c r="S1017">
        <f t="shared" ca="1" si="111"/>
        <v>5</v>
      </c>
    </row>
    <row r="1018" spans="1:19">
      <c r="A1018" s="1" t="s">
        <v>19</v>
      </c>
      <c r="B1018" s="2">
        <v>300</v>
      </c>
      <c r="C1018" s="1">
        <v>300</v>
      </c>
      <c r="D1018" s="1" t="s">
        <v>1139</v>
      </c>
      <c r="E1018" s="1">
        <v>12</v>
      </c>
      <c r="F1018" s="3">
        <v>1200</v>
      </c>
      <c r="G1018" s="1">
        <v>7</v>
      </c>
      <c r="H1018" s="1" t="s">
        <v>2131</v>
      </c>
      <c r="I1018" s="1" t="s">
        <v>1141</v>
      </c>
      <c r="J1018" s="1" t="s">
        <v>246</v>
      </c>
      <c r="K1018" s="1" t="s">
        <v>2118</v>
      </c>
      <c r="L1018" s="1" t="s">
        <v>2062</v>
      </c>
      <c r="M1018">
        <f t="shared" si="105"/>
        <v>300</v>
      </c>
      <c r="N1018" t="str">
        <f t="shared" si="106"/>
        <v>1976-08-12</v>
      </c>
      <c r="O1018">
        <f t="shared" si="107"/>
        <v>36</v>
      </c>
      <c r="P1018" t="str">
        <f t="shared" si="108"/>
        <v>kobieta</v>
      </c>
      <c r="Q1018">
        <f t="shared" si="109"/>
        <v>12</v>
      </c>
      <c r="R1018">
        <f t="shared" si="110"/>
        <v>2</v>
      </c>
      <c r="S1018">
        <f t="shared" ca="1" si="111"/>
        <v>3</v>
      </c>
    </row>
    <row r="1019" spans="1:19">
      <c r="A1019" s="1" t="s">
        <v>309</v>
      </c>
      <c r="B1019" s="2">
        <v>800</v>
      </c>
      <c r="C1019" s="1">
        <v>500</v>
      </c>
      <c r="D1019" s="1" t="s">
        <v>1880</v>
      </c>
      <c r="E1019" s="1">
        <v>11</v>
      </c>
      <c r="F1019" s="3">
        <v>1186</v>
      </c>
      <c r="G1019" s="1">
        <v>0</v>
      </c>
      <c r="H1019" s="1" t="s">
        <v>2132</v>
      </c>
      <c r="I1019" s="1" t="s">
        <v>729</v>
      </c>
      <c r="J1019" s="1" t="s">
        <v>16</v>
      </c>
      <c r="K1019" s="1" t="s">
        <v>2118</v>
      </c>
      <c r="L1019" s="1" t="s">
        <v>2133</v>
      </c>
      <c r="M1019">
        <f t="shared" si="105"/>
        <v>500</v>
      </c>
      <c r="N1019" t="str">
        <f t="shared" si="106"/>
        <v>1976-10-20</v>
      </c>
      <c r="O1019">
        <f t="shared" si="107"/>
        <v>36</v>
      </c>
      <c r="P1019" t="str">
        <f t="shared" si="108"/>
        <v>mężczyzna</v>
      </c>
      <c r="Q1019">
        <f t="shared" si="109"/>
        <v>13</v>
      </c>
      <c r="R1019">
        <f t="shared" si="110"/>
        <v>48</v>
      </c>
      <c r="S1019">
        <f t="shared" ca="1" si="111"/>
        <v>35</v>
      </c>
    </row>
    <row r="1020" spans="1:19">
      <c r="A1020" s="1" t="s">
        <v>19</v>
      </c>
      <c r="B1020" s="2">
        <v>200</v>
      </c>
      <c r="C1020" s="1">
        <v>200</v>
      </c>
      <c r="D1020" s="1" t="s">
        <v>1676</v>
      </c>
      <c r="E1020" s="1">
        <v>11</v>
      </c>
      <c r="F1020" s="3">
        <v>2000</v>
      </c>
      <c r="G1020" s="1">
        <v>1</v>
      </c>
      <c r="H1020" s="1" t="s">
        <v>2134</v>
      </c>
      <c r="I1020" s="1" t="s">
        <v>1678</v>
      </c>
      <c r="J1020" s="1" t="s">
        <v>16</v>
      </c>
      <c r="K1020" s="1" t="s">
        <v>2118</v>
      </c>
      <c r="L1020" s="1" t="s">
        <v>1960</v>
      </c>
      <c r="M1020">
        <f t="shared" si="105"/>
        <v>200</v>
      </c>
      <c r="N1020" t="str">
        <f t="shared" si="106"/>
        <v>1980-12-29</v>
      </c>
      <c r="O1020">
        <f t="shared" si="107"/>
        <v>32</v>
      </c>
      <c r="P1020" t="str">
        <f t="shared" si="108"/>
        <v>mężczyzna</v>
      </c>
      <c r="Q1020">
        <f t="shared" si="109"/>
        <v>8</v>
      </c>
      <c r="R1020">
        <f t="shared" si="110"/>
        <v>48</v>
      </c>
      <c r="S1020">
        <f t="shared" ca="1" si="111"/>
        <v>0</v>
      </c>
    </row>
    <row r="1021" spans="1:19">
      <c r="A1021" s="1" t="s">
        <v>12</v>
      </c>
      <c r="B1021" s="2">
        <v>2000</v>
      </c>
      <c r="C1021" s="1">
        <v>2000</v>
      </c>
      <c r="D1021" s="1" t="s">
        <v>1131</v>
      </c>
      <c r="E1021" s="1">
        <v>13</v>
      </c>
      <c r="F1021" s="3">
        <v>2612</v>
      </c>
      <c r="G1021" s="1">
        <v>0</v>
      </c>
      <c r="H1021" s="1" t="s">
        <v>2135</v>
      </c>
      <c r="I1021" s="1" t="s">
        <v>1133</v>
      </c>
      <c r="J1021" s="1" t="s">
        <v>16</v>
      </c>
      <c r="K1021" s="1" t="s">
        <v>2136</v>
      </c>
      <c r="L1021" s="1" t="s">
        <v>1698</v>
      </c>
      <c r="M1021">
        <f t="shared" si="105"/>
        <v>2000</v>
      </c>
      <c r="N1021" t="str">
        <f t="shared" si="106"/>
        <v>1939-10-23</v>
      </c>
      <c r="O1021">
        <f t="shared" si="107"/>
        <v>73</v>
      </c>
      <c r="P1021" t="str">
        <f t="shared" si="108"/>
        <v>mężczyzna</v>
      </c>
      <c r="Q1021">
        <f t="shared" si="109"/>
        <v>85</v>
      </c>
      <c r="R1021">
        <f t="shared" si="110"/>
        <v>48</v>
      </c>
      <c r="S1021">
        <f t="shared" ca="1" si="111"/>
        <v>0</v>
      </c>
    </row>
    <row r="1022" spans="1:19">
      <c r="A1022" s="1" t="s">
        <v>24</v>
      </c>
      <c r="B1022" s="2">
        <v>500</v>
      </c>
      <c r="C1022" s="1">
        <v>0</v>
      </c>
      <c r="D1022" s="1" t="s">
        <v>2137</v>
      </c>
      <c r="E1022" s="1">
        <v>12</v>
      </c>
      <c r="F1022" s="3">
        <v>1000</v>
      </c>
      <c r="G1022" s="1">
        <v>0</v>
      </c>
      <c r="H1022" s="1" t="s">
        <v>2138</v>
      </c>
      <c r="I1022" s="1" t="s">
        <v>214</v>
      </c>
      <c r="J1022" s="1" t="s">
        <v>963</v>
      </c>
      <c r="K1022" s="1" t="s">
        <v>16</v>
      </c>
      <c r="L1022" s="1" t="s">
        <v>28</v>
      </c>
      <c r="M1022">
        <f t="shared" si="105"/>
        <v>500</v>
      </c>
      <c r="N1022" t="str">
        <f t="shared" si="106"/>
        <v>1975-07-03</v>
      </c>
      <c r="O1022">
        <f t="shared" si="107"/>
        <v>37</v>
      </c>
      <c r="P1022" t="str">
        <f t="shared" si="108"/>
        <v>kobieta</v>
      </c>
      <c r="Q1022">
        <f t="shared" si="109"/>
        <v>58</v>
      </c>
      <c r="R1022">
        <f t="shared" si="110"/>
        <v>13</v>
      </c>
      <c r="S1022">
        <f t="shared" ca="1" si="111"/>
        <v>0</v>
      </c>
    </row>
    <row r="1023" spans="1:19">
      <c r="A1023" s="1" t="s">
        <v>19</v>
      </c>
      <c r="B1023" s="2">
        <v>200</v>
      </c>
      <c r="C1023" s="1">
        <v>200</v>
      </c>
      <c r="D1023" s="1" t="s">
        <v>770</v>
      </c>
      <c r="E1023" s="1">
        <v>13</v>
      </c>
      <c r="F1023" s="3">
        <v>1287.6600000000001</v>
      </c>
      <c r="G1023" s="1">
        <v>6</v>
      </c>
      <c r="H1023" s="1" t="s">
        <v>2139</v>
      </c>
      <c r="I1023" s="1" t="s">
        <v>772</v>
      </c>
      <c r="J1023" s="1" t="s">
        <v>16</v>
      </c>
      <c r="K1023" s="1" t="s">
        <v>2136</v>
      </c>
      <c r="L1023" s="1" t="s">
        <v>2070</v>
      </c>
      <c r="M1023">
        <f t="shared" si="105"/>
        <v>200</v>
      </c>
      <c r="N1023" t="str">
        <f t="shared" si="106"/>
        <v>1948-09-05</v>
      </c>
      <c r="O1023">
        <f t="shared" si="107"/>
        <v>64</v>
      </c>
      <c r="P1023" t="str">
        <f t="shared" si="108"/>
        <v>mężczyzna</v>
      </c>
      <c r="Q1023">
        <f t="shared" si="109"/>
        <v>99</v>
      </c>
      <c r="R1023">
        <f t="shared" si="110"/>
        <v>48</v>
      </c>
      <c r="S1023">
        <f t="shared" ca="1" si="111"/>
        <v>5</v>
      </c>
    </row>
    <row r="1024" spans="1:19">
      <c r="A1024" s="1" t="s">
        <v>12</v>
      </c>
      <c r="B1024" s="2">
        <v>400</v>
      </c>
      <c r="C1024" s="1">
        <v>400</v>
      </c>
      <c r="D1024" s="1" t="s">
        <v>1817</v>
      </c>
      <c r="E1024" s="1">
        <v>99</v>
      </c>
      <c r="F1024" s="3">
        <v>1400</v>
      </c>
      <c r="G1024" s="1">
        <v>0</v>
      </c>
      <c r="H1024" s="1" t="s">
        <v>2140</v>
      </c>
      <c r="I1024" s="1" t="s">
        <v>1819</v>
      </c>
      <c r="J1024" s="1" t="s">
        <v>90</v>
      </c>
      <c r="K1024" s="1" t="s">
        <v>2136</v>
      </c>
      <c r="L1024" s="1" t="s">
        <v>1960</v>
      </c>
      <c r="M1024">
        <f t="shared" si="105"/>
        <v>400</v>
      </c>
      <c r="N1024" t="str">
        <f t="shared" si="106"/>
        <v>1965-12-15</v>
      </c>
      <c r="O1024">
        <f t="shared" si="107"/>
        <v>47</v>
      </c>
      <c r="P1024" t="str">
        <f t="shared" si="108"/>
        <v>mężczyzna</v>
      </c>
      <c r="Q1024">
        <f t="shared" si="109"/>
        <v>19</v>
      </c>
      <c r="R1024">
        <f t="shared" si="110"/>
        <v>0</v>
      </c>
      <c r="S1024">
        <f t="shared" ca="1" si="111"/>
        <v>0</v>
      </c>
    </row>
    <row r="1025" spans="1:19">
      <c r="A1025" s="1" t="s">
        <v>24</v>
      </c>
      <c r="B1025" s="2">
        <v>200</v>
      </c>
      <c r="C1025" s="1">
        <v>0</v>
      </c>
      <c r="D1025" s="1" t="s">
        <v>2141</v>
      </c>
      <c r="E1025" s="1">
        <v>11</v>
      </c>
      <c r="F1025" s="3">
        <v>1050</v>
      </c>
      <c r="G1025" s="1">
        <v>0</v>
      </c>
      <c r="H1025" s="1" t="s">
        <v>2142</v>
      </c>
      <c r="I1025" s="1" t="s">
        <v>2143</v>
      </c>
      <c r="J1025" s="1" t="s">
        <v>16</v>
      </c>
      <c r="K1025" s="1" t="s">
        <v>16</v>
      </c>
      <c r="L1025" s="1" t="s">
        <v>28</v>
      </c>
      <c r="M1025">
        <f t="shared" si="105"/>
        <v>200</v>
      </c>
      <c r="N1025" t="str">
        <f t="shared" si="106"/>
        <v>1978-07-24</v>
      </c>
      <c r="O1025">
        <f t="shared" si="107"/>
        <v>34</v>
      </c>
      <c r="P1025" t="str">
        <f t="shared" si="108"/>
        <v>kobieta</v>
      </c>
      <c r="Q1025">
        <f t="shared" si="109"/>
        <v>2</v>
      </c>
      <c r="R1025">
        <f t="shared" si="110"/>
        <v>48</v>
      </c>
      <c r="S1025">
        <f t="shared" ca="1" si="111"/>
        <v>0</v>
      </c>
    </row>
    <row r="1026" spans="1:19">
      <c r="A1026" s="1" t="s">
        <v>19</v>
      </c>
      <c r="B1026" s="2">
        <v>600</v>
      </c>
      <c r="C1026" s="1">
        <v>600</v>
      </c>
      <c r="D1026" s="1" t="s">
        <v>1083</v>
      </c>
      <c r="E1026" s="1">
        <v>12</v>
      </c>
      <c r="F1026" s="3">
        <v>1350</v>
      </c>
      <c r="G1026" s="1">
        <v>1</v>
      </c>
      <c r="H1026" s="1" t="s">
        <v>2144</v>
      </c>
      <c r="I1026" s="1" t="s">
        <v>1085</v>
      </c>
      <c r="J1026" s="1" t="s">
        <v>90</v>
      </c>
      <c r="K1026" s="1" t="s">
        <v>2136</v>
      </c>
      <c r="L1026" s="1" t="s">
        <v>2145</v>
      </c>
      <c r="M1026">
        <f t="shared" si="105"/>
        <v>600</v>
      </c>
      <c r="N1026" t="str">
        <f t="shared" si="106"/>
        <v>1956-03-10</v>
      </c>
      <c r="O1026">
        <f t="shared" si="107"/>
        <v>56</v>
      </c>
      <c r="P1026" t="str">
        <f t="shared" si="108"/>
        <v>kobieta</v>
      </c>
      <c r="Q1026">
        <f t="shared" si="109"/>
        <v>25</v>
      </c>
      <c r="R1026">
        <f t="shared" si="110"/>
        <v>0</v>
      </c>
      <c r="S1026">
        <f t="shared" ca="1" si="111"/>
        <v>17</v>
      </c>
    </row>
    <row r="1027" spans="1:19">
      <c r="A1027" s="1" t="s">
        <v>12</v>
      </c>
      <c r="B1027" s="2">
        <v>476.83</v>
      </c>
      <c r="C1027" s="1">
        <v>476.83</v>
      </c>
      <c r="D1027" s="1" t="s">
        <v>678</v>
      </c>
      <c r="E1027" s="1">
        <v>11</v>
      </c>
      <c r="F1027" s="3">
        <v>1250</v>
      </c>
      <c r="G1027" s="1">
        <v>0</v>
      </c>
      <c r="H1027" s="1" t="s">
        <v>2146</v>
      </c>
      <c r="I1027" s="1" t="s">
        <v>680</v>
      </c>
      <c r="J1027" s="1" t="s">
        <v>16</v>
      </c>
      <c r="K1027" s="1" t="s">
        <v>2136</v>
      </c>
      <c r="L1027" s="1" t="s">
        <v>2147</v>
      </c>
      <c r="M1027">
        <f t="shared" ref="M1027:M1090" si="112">IF(A1027="odmowa", B1027,C1027)</f>
        <v>476.83</v>
      </c>
      <c r="N1027" t="str">
        <f t="shared" ref="N1027:N1090" si="113">CONCATENATE("19", MID(D1027, 1, 2), "-", MID(D1027, 3, 2), "-", MID(D1027, 5, 2))</f>
        <v>1950-01-28</v>
      </c>
      <c r="O1027">
        <f t="shared" ref="O1027:O1090" si="114">YEAR(H1027) - YEAR(N1027)</f>
        <v>62</v>
      </c>
      <c r="P1027" t="str">
        <f t="shared" ref="P1027:P1090" si="115">IF(MOD(MID(D1027, 10, 1), 2)=0, "kobieta", "mężczyzna")</f>
        <v>mężczyzna</v>
      </c>
      <c r="Q1027">
        <f t="shared" ref="Q1027:Q1090" si="116">(YEAR(H1027) - YEAR(I1027)) * 12 + MONTH(H1027) - MONTH(I1027)</f>
        <v>68</v>
      </c>
      <c r="R1027">
        <f t="shared" ref="R1027:R1090" si="117">IF(LEFT(J1027, 4)="0000", 48, MIN(48, (YEAR(J1027) - YEAR(H1027)) * 12 + MONTH(J1027) - MONTH(H1027)))</f>
        <v>48</v>
      </c>
      <c r="S1027">
        <f t="shared" ref="S1027:S1090" ca="1" si="118">IF(LEFT(K1027, 4)="0000", 0, IF(LEFT(L1027, 4)="0000", MAX(0, TODAY() - K1027), MAX(0, L1027 - K1027)))</f>
        <v>14</v>
      </c>
    </row>
    <row r="1028" spans="1:19">
      <c r="A1028" s="1" t="s">
        <v>56</v>
      </c>
      <c r="B1028" s="2">
        <v>388.49</v>
      </c>
      <c r="C1028" s="1">
        <v>388.49</v>
      </c>
      <c r="D1028" s="1" t="s">
        <v>851</v>
      </c>
      <c r="E1028" s="1">
        <v>11</v>
      </c>
      <c r="F1028" s="3">
        <v>1850</v>
      </c>
      <c r="G1028" s="1">
        <v>2</v>
      </c>
      <c r="H1028" s="1" t="s">
        <v>2148</v>
      </c>
      <c r="I1028" s="1" t="s">
        <v>214</v>
      </c>
      <c r="J1028" s="1" t="s">
        <v>16</v>
      </c>
      <c r="K1028" s="1" t="s">
        <v>2136</v>
      </c>
      <c r="L1028" s="1" t="s">
        <v>28</v>
      </c>
      <c r="M1028">
        <f t="shared" si="112"/>
        <v>388.49</v>
      </c>
      <c r="N1028" t="str">
        <f t="shared" si="113"/>
        <v>1976-05-30</v>
      </c>
      <c r="O1028">
        <f t="shared" si="114"/>
        <v>36</v>
      </c>
      <c r="P1028" t="str">
        <f t="shared" si="115"/>
        <v>mężczyzna</v>
      </c>
      <c r="Q1028">
        <f t="shared" si="116"/>
        <v>58</v>
      </c>
      <c r="R1028">
        <f t="shared" si="117"/>
        <v>48</v>
      </c>
      <c r="S1028">
        <f t="shared" ca="1" si="118"/>
        <v>5183</v>
      </c>
    </row>
    <row r="1029" spans="1:19">
      <c r="A1029" s="1" t="s">
        <v>309</v>
      </c>
      <c r="B1029" s="2">
        <v>300</v>
      </c>
      <c r="C1029" s="1">
        <v>200</v>
      </c>
      <c r="D1029" s="1" t="s">
        <v>2149</v>
      </c>
      <c r="E1029" s="1">
        <v>12</v>
      </c>
      <c r="F1029" s="3">
        <v>1500</v>
      </c>
      <c r="G1029" s="1">
        <v>0</v>
      </c>
      <c r="H1029" s="1" t="s">
        <v>2150</v>
      </c>
      <c r="I1029" s="1" t="s">
        <v>2151</v>
      </c>
      <c r="J1029" s="1" t="s">
        <v>1840</v>
      </c>
      <c r="K1029" s="1" t="s">
        <v>2136</v>
      </c>
      <c r="L1029" s="1" t="s">
        <v>2152</v>
      </c>
      <c r="M1029">
        <f t="shared" si="112"/>
        <v>200</v>
      </c>
      <c r="N1029" t="str">
        <f t="shared" si="113"/>
        <v>1969-01-02</v>
      </c>
      <c r="O1029">
        <f t="shared" si="114"/>
        <v>43</v>
      </c>
      <c r="P1029" t="str">
        <f t="shared" si="115"/>
        <v>mężczyzna</v>
      </c>
      <c r="Q1029">
        <f t="shared" si="116"/>
        <v>38</v>
      </c>
      <c r="R1029">
        <f t="shared" si="117"/>
        <v>35</v>
      </c>
      <c r="S1029">
        <f t="shared" ca="1" si="118"/>
        <v>269</v>
      </c>
    </row>
    <row r="1030" spans="1:19">
      <c r="A1030" s="1" t="s">
        <v>19</v>
      </c>
      <c r="B1030" s="2">
        <v>200</v>
      </c>
      <c r="C1030" s="1">
        <v>200</v>
      </c>
      <c r="D1030" s="1" t="s">
        <v>20</v>
      </c>
      <c r="E1030" s="1">
        <v>16</v>
      </c>
      <c r="F1030" s="3">
        <v>959.6</v>
      </c>
      <c r="G1030" s="1">
        <v>7</v>
      </c>
      <c r="H1030" s="1" t="s">
        <v>2153</v>
      </c>
      <c r="I1030" s="1" t="s">
        <v>22</v>
      </c>
      <c r="J1030" s="1" t="s">
        <v>16</v>
      </c>
      <c r="K1030" s="1" t="s">
        <v>2136</v>
      </c>
      <c r="L1030" s="1" t="s">
        <v>1960</v>
      </c>
      <c r="M1030">
        <f t="shared" si="112"/>
        <v>200</v>
      </c>
      <c r="N1030" t="str">
        <f t="shared" si="113"/>
        <v>1942-12-03</v>
      </c>
      <c r="O1030">
        <f t="shared" si="114"/>
        <v>70</v>
      </c>
      <c r="P1030" t="str">
        <f t="shared" si="115"/>
        <v>kobieta</v>
      </c>
      <c r="Q1030">
        <f t="shared" si="116"/>
        <v>118</v>
      </c>
      <c r="R1030">
        <f t="shared" si="117"/>
        <v>48</v>
      </c>
      <c r="S1030">
        <f t="shared" ca="1" si="118"/>
        <v>0</v>
      </c>
    </row>
    <row r="1031" spans="1:19">
      <c r="A1031" s="1" t="s">
        <v>12</v>
      </c>
      <c r="B1031" s="2">
        <v>400</v>
      </c>
      <c r="C1031" s="1">
        <v>400</v>
      </c>
      <c r="D1031" s="1" t="s">
        <v>874</v>
      </c>
      <c r="E1031" s="1">
        <v>11</v>
      </c>
      <c r="F1031" s="3">
        <v>980.11</v>
      </c>
      <c r="G1031" s="1">
        <v>4</v>
      </c>
      <c r="H1031" s="1" t="s">
        <v>2154</v>
      </c>
      <c r="I1031" s="1" t="s">
        <v>876</v>
      </c>
      <c r="J1031" s="1" t="s">
        <v>16</v>
      </c>
      <c r="K1031" s="1" t="s">
        <v>2136</v>
      </c>
      <c r="L1031" s="1" t="s">
        <v>1345</v>
      </c>
      <c r="M1031">
        <f t="shared" si="112"/>
        <v>400</v>
      </c>
      <c r="N1031" t="str">
        <f t="shared" si="113"/>
        <v>1977-07-20</v>
      </c>
      <c r="O1031">
        <f t="shared" si="114"/>
        <v>35</v>
      </c>
      <c r="P1031" t="str">
        <f t="shared" si="115"/>
        <v>kobieta</v>
      </c>
      <c r="Q1031">
        <f t="shared" si="116"/>
        <v>48</v>
      </c>
      <c r="R1031">
        <f t="shared" si="117"/>
        <v>48</v>
      </c>
      <c r="S1031">
        <f t="shared" ca="1" si="118"/>
        <v>241</v>
      </c>
    </row>
    <row r="1032" spans="1:19">
      <c r="A1032" s="1" t="s">
        <v>19</v>
      </c>
      <c r="B1032" s="2">
        <v>389.72</v>
      </c>
      <c r="C1032" s="1">
        <v>389.72</v>
      </c>
      <c r="D1032" s="1" t="s">
        <v>628</v>
      </c>
      <c r="E1032" s="1">
        <v>12</v>
      </c>
      <c r="F1032" s="3">
        <v>1000</v>
      </c>
      <c r="G1032" s="1">
        <v>1</v>
      </c>
      <c r="H1032" s="1" t="s">
        <v>2155</v>
      </c>
      <c r="I1032" s="1" t="s">
        <v>630</v>
      </c>
      <c r="J1032" s="1" t="s">
        <v>631</v>
      </c>
      <c r="K1032" s="1" t="s">
        <v>2136</v>
      </c>
      <c r="L1032" s="1" t="s">
        <v>2062</v>
      </c>
      <c r="M1032">
        <f t="shared" si="112"/>
        <v>389.72</v>
      </c>
      <c r="N1032" t="str">
        <f t="shared" si="113"/>
        <v>1957-02-18</v>
      </c>
      <c r="O1032">
        <f t="shared" si="114"/>
        <v>55</v>
      </c>
      <c r="P1032" t="str">
        <f t="shared" si="115"/>
        <v>kobieta</v>
      </c>
      <c r="Q1032">
        <f t="shared" si="116"/>
        <v>48</v>
      </c>
      <c r="R1032">
        <f t="shared" si="117"/>
        <v>21</v>
      </c>
      <c r="S1032">
        <f t="shared" ca="1" si="118"/>
        <v>2</v>
      </c>
    </row>
    <row r="1033" spans="1:19">
      <c r="A1033" s="1" t="s">
        <v>19</v>
      </c>
      <c r="B1033" s="2">
        <v>550</v>
      </c>
      <c r="C1033" s="1">
        <v>550</v>
      </c>
      <c r="D1033" s="1" t="s">
        <v>1017</v>
      </c>
      <c r="E1033" s="1">
        <v>12</v>
      </c>
      <c r="F1033" s="3">
        <v>1675</v>
      </c>
      <c r="G1033" s="1">
        <v>7</v>
      </c>
      <c r="H1033" s="1" t="s">
        <v>2156</v>
      </c>
      <c r="I1033" s="1" t="s">
        <v>717</v>
      </c>
      <c r="J1033" s="1" t="s">
        <v>90</v>
      </c>
      <c r="K1033" s="1" t="s">
        <v>2136</v>
      </c>
      <c r="L1033" s="1" t="s">
        <v>2110</v>
      </c>
      <c r="M1033">
        <f t="shared" si="112"/>
        <v>550</v>
      </c>
      <c r="N1033" t="str">
        <f t="shared" si="113"/>
        <v>1957-09-29</v>
      </c>
      <c r="O1033">
        <f t="shared" si="114"/>
        <v>55</v>
      </c>
      <c r="P1033" t="str">
        <f t="shared" si="115"/>
        <v>kobieta</v>
      </c>
      <c r="Q1033">
        <f t="shared" si="116"/>
        <v>12</v>
      </c>
      <c r="R1033">
        <f t="shared" si="117"/>
        <v>0</v>
      </c>
      <c r="S1033">
        <f t="shared" ca="1" si="118"/>
        <v>3</v>
      </c>
    </row>
    <row r="1034" spans="1:19">
      <c r="A1034" s="1" t="s">
        <v>19</v>
      </c>
      <c r="B1034" s="2">
        <v>282.27999999999997</v>
      </c>
      <c r="C1034" s="1">
        <v>282.27999999999997</v>
      </c>
      <c r="D1034" s="1" t="s">
        <v>737</v>
      </c>
      <c r="E1034" s="1">
        <v>11</v>
      </c>
      <c r="F1034" s="3">
        <v>1600</v>
      </c>
      <c r="G1034" s="1">
        <v>1</v>
      </c>
      <c r="H1034" s="1" t="s">
        <v>2157</v>
      </c>
      <c r="I1034" s="1" t="s">
        <v>739</v>
      </c>
      <c r="J1034" s="1" t="s">
        <v>16</v>
      </c>
      <c r="K1034" s="1" t="s">
        <v>2136</v>
      </c>
      <c r="L1034" s="1" t="s">
        <v>2110</v>
      </c>
      <c r="M1034">
        <f t="shared" si="112"/>
        <v>282.27999999999997</v>
      </c>
      <c r="N1034" t="str">
        <f t="shared" si="113"/>
        <v>1963-03-27</v>
      </c>
      <c r="O1034">
        <f t="shared" si="114"/>
        <v>49</v>
      </c>
      <c r="P1034" t="str">
        <f t="shared" si="115"/>
        <v>mężczyzna</v>
      </c>
      <c r="Q1034">
        <f t="shared" si="116"/>
        <v>345</v>
      </c>
      <c r="R1034">
        <f t="shared" si="117"/>
        <v>48</v>
      </c>
      <c r="S1034">
        <f t="shared" ca="1" si="118"/>
        <v>3</v>
      </c>
    </row>
    <row r="1035" spans="1:19">
      <c r="A1035" s="1" t="s">
        <v>19</v>
      </c>
      <c r="B1035" s="2">
        <v>450</v>
      </c>
      <c r="C1035" s="1">
        <v>450</v>
      </c>
      <c r="D1035" s="1" t="s">
        <v>895</v>
      </c>
      <c r="E1035" s="1">
        <v>13</v>
      </c>
      <c r="F1035" s="3">
        <v>1019</v>
      </c>
      <c r="G1035" s="1">
        <v>0</v>
      </c>
      <c r="H1035" s="1" t="s">
        <v>2158</v>
      </c>
      <c r="I1035" s="1" t="s">
        <v>897</v>
      </c>
      <c r="J1035" s="1" t="s">
        <v>16</v>
      </c>
      <c r="K1035" s="1" t="s">
        <v>2136</v>
      </c>
      <c r="L1035" s="1" t="s">
        <v>2057</v>
      </c>
      <c r="M1035">
        <f t="shared" si="112"/>
        <v>450</v>
      </c>
      <c r="N1035" t="str">
        <f t="shared" si="113"/>
        <v>1943-03-20</v>
      </c>
      <c r="O1035">
        <f t="shared" si="114"/>
        <v>69</v>
      </c>
      <c r="P1035" t="str">
        <f t="shared" si="115"/>
        <v>kobieta</v>
      </c>
      <c r="Q1035">
        <f t="shared" si="116"/>
        <v>136</v>
      </c>
      <c r="R1035">
        <f t="shared" si="117"/>
        <v>48</v>
      </c>
      <c r="S1035">
        <f t="shared" ca="1" si="118"/>
        <v>6</v>
      </c>
    </row>
    <row r="1036" spans="1:19">
      <c r="A1036" s="1" t="s">
        <v>56</v>
      </c>
      <c r="B1036" s="2">
        <v>500</v>
      </c>
      <c r="C1036" s="1">
        <v>500</v>
      </c>
      <c r="D1036" s="1" t="s">
        <v>1703</v>
      </c>
      <c r="E1036" s="1">
        <v>11</v>
      </c>
      <c r="F1036" s="3">
        <v>2400</v>
      </c>
      <c r="G1036" s="1">
        <v>1</v>
      </c>
      <c r="H1036" s="1" t="s">
        <v>2159</v>
      </c>
      <c r="I1036" s="1" t="s">
        <v>1705</v>
      </c>
      <c r="J1036" s="1" t="s">
        <v>16</v>
      </c>
      <c r="K1036" s="1" t="s">
        <v>2136</v>
      </c>
      <c r="L1036" s="1" t="s">
        <v>28</v>
      </c>
      <c r="M1036">
        <f t="shared" si="112"/>
        <v>500</v>
      </c>
      <c r="N1036" t="str">
        <f t="shared" si="113"/>
        <v>1961-11-22</v>
      </c>
      <c r="O1036">
        <f t="shared" si="114"/>
        <v>51</v>
      </c>
      <c r="P1036" t="str">
        <f t="shared" si="115"/>
        <v>mężczyzna</v>
      </c>
      <c r="Q1036">
        <f t="shared" si="116"/>
        <v>255</v>
      </c>
      <c r="R1036">
        <f t="shared" si="117"/>
        <v>48</v>
      </c>
      <c r="S1036">
        <f t="shared" ca="1" si="118"/>
        <v>5183</v>
      </c>
    </row>
    <row r="1037" spans="1:19">
      <c r="A1037" s="1" t="s">
        <v>12</v>
      </c>
      <c r="B1037" s="2">
        <v>200</v>
      </c>
      <c r="C1037" s="1">
        <v>200</v>
      </c>
      <c r="D1037" s="1" t="s">
        <v>687</v>
      </c>
      <c r="E1037" s="1">
        <v>11</v>
      </c>
      <c r="F1037" s="3">
        <v>1000</v>
      </c>
      <c r="G1037" s="1">
        <v>0</v>
      </c>
      <c r="H1037" s="1" t="s">
        <v>2160</v>
      </c>
      <c r="I1037" s="1" t="s">
        <v>689</v>
      </c>
      <c r="J1037" s="1" t="s">
        <v>16</v>
      </c>
      <c r="K1037" s="1" t="s">
        <v>2136</v>
      </c>
      <c r="L1037" s="1" t="s">
        <v>2161</v>
      </c>
      <c r="M1037">
        <f t="shared" si="112"/>
        <v>200</v>
      </c>
      <c r="N1037" t="str">
        <f t="shared" si="113"/>
        <v>1970-08-10</v>
      </c>
      <c r="O1037">
        <f t="shared" si="114"/>
        <v>42</v>
      </c>
      <c r="P1037" t="str">
        <f t="shared" si="115"/>
        <v>kobieta</v>
      </c>
      <c r="Q1037">
        <f t="shared" si="116"/>
        <v>64</v>
      </c>
      <c r="R1037">
        <f t="shared" si="117"/>
        <v>48</v>
      </c>
      <c r="S1037">
        <f t="shared" ca="1" si="118"/>
        <v>11</v>
      </c>
    </row>
    <row r="1038" spans="1:19">
      <c r="A1038" s="1" t="s">
        <v>24</v>
      </c>
      <c r="B1038" s="2">
        <v>200</v>
      </c>
      <c r="C1038" s="1">
        <v>0</v>
      </c>
      <c r="D1038" s="1" t="s">
        <v>2162</v>
      </c>
      <c r="E1038" s="1">
        <v>16</v>
      </c>
      <c r="F1038" s="3">
        <v>1641</v>
      </c>
      <c r="G1038" s="1">
        <v>0</v>
      </c>
      <c r="H1038" s="1" t="s">
        <v>2163</v>
      </c>
      <c r="I1038" s="1" t="s">
        <v>706</v>
      </c>
      <c r="J1038" s="1" t="s">
        <v>16</v>
      </c>
      <c r="K1038" s="1" t="s">
        <v>16</v>
      </c>
      <c r="L1038" s="1" t="s">
        <v>28</v>
      </c>
      <c r="M1038">
        <f t="shared" si="112"/>
        <v>200</v>
      </c>
      <c r="N1038" t="str">
        <f t="shared" si="113"/>
        <v>1945-02-23</v>
      </c>
      <c r="O1038">
        <f t="shared" si="114"/>
        <v>67</v>
      </c>
      <c r="P1038" t="str">
        <f t="shared" si="115"/>
        <v>kobieta</v>
      </c>
      <c r="Q1038">
        <f t="shared" si="116"/>
        <v>168</v>
      </c>
      <c r="R1038">
        <f t="shared" si="117"/>
        <v>48</v>
      </c>
      <c r="S1038">
        <f t="shared" ca="1" si="118"/>
        <v>0</v>
      </c>
    </row>
    <row r="1039" spans="1:19">
      <c r="A1039" s="1" t="s">
        <v>19</v>
      </c>
      <c r="B1039" s="2">
        <v>200</v>
      </c>
      <c r="C1039" s="1">
        <v>200</v>
      </c>
      <c r="D1039" s="1" t="s">
        <v>78</v>
      </c>
      <c r="E1039" s="1">
        <v>13</v>
      </c>
      <c r="F1039" s="3">
        <v>730</v>
      </c>
      <c r="G1039" s="1">
        <v>6</v>
      </c>
      <c r="H1039" s="1" t="s">
        <v>2164</v>
      </c>
      <c r="I1039" s="1" t="s">
        <v>80</v>
      </c>
      <c r="J1039" s="1" t="s">
        <v>16</v>
      </c>
      <c r="K1039" s="1" t="s">
        <v>2165</v>
      </c>
      <c r="L1039" s="1" t="s">
        <v>2072</v>
      </c>
      <c r="M1039">
        <f t="shared" si="112"/>
        <v>200</v>
      </c>
      <c r="N1039" t="str">
        <f t="shared" si="113"/>
        <v>1939-08-25</v>
      </c>
      <c r="O1039">
        <f t="shared" si="114"/>
        <v>73</v>
      </c>
      <c r="P1039" t="str">
        <f t="shared" si="115"/>
        <v>kobieta</v>
      </c>
      <c r="Q1039">
        <f t="shared" si="116"/>
        <v>564</v>
      </c>
      <c r="R1039">
        <f t="shared" si="117"/>
        <v>48</v>
      </c>
      <c r="S1039">
        <f t="shared" ca="1" si="118"/>
        <v>0</v>
      </c>
    </row>
    <row r="1040" spans="1:19">
      <c r="A1040" s="1" t="s">
        <v>12</v>
      </c>
      <c r="B1040" s="2">
        <v>246.46</v>
      </c>
      <c r="C1040" s="1">
        <v>246.46</v>
      </c>
      <c r="D1040" s="1" t="s">
        <v>1151</v>
      </c>
      <c r="E1040" s="1">
        <v>13</v>
      </c>
      <c r="F1040" s="3">
        <v>1559</v>
      </c>
      <c r="G1040" s="1">
        <v>2</v>
      </c>
      <c r="H1040" s="1" t="s">
        <v>2166</v>
      </c>
      <c r="I1040" s="1" t="s">
        <v>230</v>
      </c>
      <c r="J1040" s="1" t="s">
        <v>16</v>
      </c>
      <c r="K1040" s="1" t="s">
        <v>2165</v>
      </c>
      <c r="L1040" s="1" t="s">
        <v>1992</v>
      </c>
      <c r="M1040">
        <f t="shared" si="112"/>
        <v>246.46</v>
      </c>
      <c r="N1040" t="str">
        <f t="shared" si="113"/>
        <v>1946-01-18</v>
      </c>
      <c r="O1040">
        <f t="shared" si="114"/>
        <v>66</v>
      </c>
      <c r="P1040" t="str">
        <f t="shared" si="115"/>
        <v>mężczyzna</v>
      </c>
      <c r="Q1040">
        <f t="shared" si="116"/>
        <v>74</v>
      </c>
      <c r="R1040">
        <f t="shared" si="117"/>
        <v>48</v>
      </c>
      <c r="S1040">
        <f t="shared" ca="1" si="118"/>
        <v>0</v>
      </c>
    </row>
    <row r="1041" spans="1:19">
      <c r="A1041" s="1" t="s">
        <v>12</v>
      </c>
      <c r="B1041" s="2">
        <v>300</v>
      </c>
      <c r="C1041" s="1">
        <v>300</v>
      </c>
      <c r="D1041" s="1" t="s">
        <v>1227</v>
      </c>
      <c r="E1041" s="1">
        <v>11</v>
      </c>
      <c r="F1041" s="3">
        <v>1400</v>
      </c>
      <c r="G1041" s="1">
        <v>1</v>
      </c>
      <c r="H1041" s="1" t="s">
        <v>2167</v>
      </c>
      <c r="I1041" s="1" t="s">
        <v>1229</v>
      </c>
      <c r="J1041" s="1" t="s">
        <v>16</v>
      </c>
      <c r="K1041" s="1" t="s">
        <v>2165</v>
      </c>
      <c r="L1041" s="1" t="s">
        <v>2062</v>
      </c>
      <c r="M1041">
        <f t="shared" si="112"/>
        <v>300</v>
      </c>
      <c r="N1041" t="str">
        <f t="shared" si="113"/>
        <v>1968-03-01</v>
      </c>
      <c r="O1041">
        <f t="shared" si="114"/>
        <v>44</v>
      </c>
      <c r="P1041" t="str">
        <f t="shared" si="115"/>
        <v>kobieta</v>
      </c>
      <c r="Q1041">
        <f t="shared" si="116"/>
        <v>28</v>
      </c>
      <c r="R1041">
        <f t="shared" si="117"/>
        <v>48</v>
      </c>
      <c r="S1041">
        <f t="shared" ca="1" si="118"/>
        <v>0</v>
      </c>
    </row>
    <row r="1042" spans="1:19">
      <c r="A1042" s="1" t="s">
        <v>12</v>
      </c>
      <c r="B1042" s="2">
        <v>230.9</v>
      </c>
      <c r="C1042" s="1">
        <v>230.9</v>
      </c>
      <c r="D1042" s="1" t="s">
        <v>366</v>
      </c>
      <c r="E1042" s="1">
        <v>13</v>
      </c>
      <c r="F1042" s="3">
        <v>1239.98</v>
      </c>
      <c r="G1042" s="1">
        <v>5</v>
      </c>
      <c r="H1042" s="1" t="s">
        <v>2168</v>
      </c>
      <c r="I1042" s="1" t="s">
        <v>368</v>
      </c>
      <c r="J1042" s="1" t="s">
        <v>16</v>
      </c>
      <c r="K1042" s="1" t="s">
        <v>2165</v>
      </c>
      <c r="L1042" s="1" t="s">
        <v>2062</v>
      </c>
      <c r="M1042">
        <f t="shared" si="112"/>
        <v>230.9</v>
      </c>
      <c r="N1042" t="str">
        <f t="shared" si="113"/>
        <v>1933-03-29</v>
      </c>
      <c r="O1042">
        <f t="shared" si="114"/>
        <v>79</v>
      </c>
      <c r="P1042" t="str">
        <f t="shared" si="115"/>
        <v>kobieta</v>
      </c>
      <c r="Q1042">
        <f t="shared" si="116"/>
        <v>258</v>
      </c>
      <c r="R1042">
        <f t="shared" si="117"/>
        <v>48</v>
      </c>
      <c r="S1042">
        <f t="shared" ca="1" si="118"/>
        <v>0</v>
      </c>
    </row>
    <row r="1043" spans="1:19">
      <c r="A1043" s="1" t="s">
        <v>12</v>
      </c>
      <c r="B1043" s="2">
        <v>437.15</v>
      </c>
      <c r="C1043" s="1">
        <v>437.15</v>
      </c>
      <c r="D1043" s="1" t="s">
        <v>1285</v>
      </c>
      <c r="E1043" s="1">
        <v>13</v>
      </c>
      <c r="F1043" s="3">
        <v>820</v>
      </c>
      <c r="G1043" s="1">
        <v>2</v>
      </c>
      <c r="H1043" s="1" t="s">
        <v>2169</v>
      </c>
      <c r="I1043" s="1" t="s">
        <v>1287</v>
      </c>
      <c r="J1043" s="1" t="s">
        <v>16</v>
      </c>
      <c r="K1043" s="1" t="s">
        <v>2165</v>
      </c>
      <c r="L1043" s="1" t="s">
        <v>1992</v>
      </c>
      <c r="M1043">
        <f t="shared" si="112"/>
        <v>437.15</v>
      </c>
      <c r="N1043" t="str">
        <f t="shared" si="113"/>
        <v>1949-08-07</v>
      </c>
      <c r="O1043">
        <f t="shared" si="114"/>
        <v>63</v>
      </c>
      <c r="P1043" t="str">
        <f t="shared" si="115"/>
        <v>kobieta</v>
      </c>
      <c r="Q1043">
        <f t="shared" si="116"/>
        <v>34</v>
      </c>
      <c r="R1043">
        <f t="shared" si="117"/>
        <v>48</v>
      </c>
      <c r="S1043">
        <f t="shared" ca="1" si="118"/>
        <v>0</v>
      </c>
    </row>
    <row r="1044" spans="1:19">
      <c r="A1044" s="1" t="s">
        <v>19</v>
      </c>
      <c r="B1044" s="2">
        <v>300</v>
      </c>
      <c r="C1044" s="1">
        <v>300</v>
      </c>
      <c r="D1044" s="1" t="s">
        <v>143</v>
      </c>
      <c r="E1044" s="1">
        <v>13</v>
      </c>
      <c r="F1044" s="3">
        <v>3900</v>
      </c>
      <c r="G1044" s="1">
        <v>8</v>
      </c>
      <c r="H1044" s="1" t="s">
        <v>2170</v>
      </c>
      <c r="I1044" s="1" t="s">
        <v>145</v>
      </c>
      <c r="J1044" s="1" t="s">
        <v>16</v>
      </c>
      <c r="K1044" s="1" t="s">
        <v>2165</v>
      </c>
      <c r="L1044" s="1" t="s">
        <v>2110</v>
      </c>
      <c r="M1044">
        <f t="shared" si="112"/>
        <v>300</v>
      </c>
      <c r="N1044" t="str">
        <f t="shared" si="113"/>
        <v>1962-11-23</v>
      </c>
      <c r="O1044">
        <f t="shared" si="114"/>
        <v>50</v>
      </c>
      <c r="P1044" t="str">
        <f t="shared" si="115"/>
        <v>mężczyzna</v>
      </c>
      <c r="Q1044">
        <f t="shared" si="116"/>
        <v>33</v>
      </c>
      <c r="R1044">
        <f t="shared" si="117"/>
        <v>48</v>
      </c>
      <c r="S1044">
        <f t="shared" ca="1" si="118"/>
        <v>1</v>
      </c>
    </row>
    <row r="1045" spans="1:19">
      <c r="A1045" s="1" t="s">
        <v>19</v>
      </c>
      <c r="B1045" s="2">
        <v>276.75</v>
      </c>
      <c r="C1045" s="1">
        <v>276.75</v>
      </c>
      <c r="D1045" s="1" t="s">
        <v>60</v>
      </c>
      <c r="E1045" s="1">
        <v>11</v>
      </c>
      <c r="F1045" s="3">
        <v>1050</v>
      </c>
      <c r="G1045" s="1">
        <v>6</v>
      </c>
      <c r="H1045" s="1" t="s">
        <v>2171</v>
      </c>
      <c r="I1045" s="1" t="s">
        <v>62</v>
      </c>
      <c r="J1045" s="1" t="s">
        <v>16</v>
      </c>
      <c r="K1045" s="1" t="s">
        <v>2165</v>
      </c>
      <c r="L1045" s="1" t="s">
        <v>2062</v>
      </c>
      <c r="M1045">
        <f t="shared" si="112"/>
        <v>276.75</v>
      </c>
      <c r="N1045" t="str">
        <f t="shared" si="113"/>
        <v>1959-09-11</v>
      </c>
      <c r="O1045">
        <f t="shared" si="114"/>
        <v>53</v>
      </c>
      <c r="P1045" t="str">
        <f t="shared" si="115"/>
        <v>kobieta</v>
      </c>
      <c r="Q1045">
        <f t="shared" si="116"/>
        <v>37</v>
      </c>
      <c r="R1045">
        <f t="shared" si="117"/>
        <v>48</v>
      </c>
      <c r="S1045">
        <f t="shared" ca="1" si="118"/>
        <v>0</v>
      </c>
    </row>
    <row r="1046" spans="1:19">
      <c r="A1046" s="1" t="s">
        <v>12</v>
      </c>
      <c r="B1046" s="2">
        <v>600</v>
      </c>
      <c r="C1046" s="1">
        <v>600</v>
      </c>
      <c r="D1046" s="1" t="s">
        <v>1131</v>
      </c>
      <c r="E1046" s="1">
        <v>13</v>
      </c>
      <c r="F1046" s="3">
        <v>2612</v>
      </c>
      <c r="G1046" s="1">
        <v>0</v>
      </c>
      <c r="H1046" s="1" t="s">
        <v>2172</v>
      </c>
      <c r="I1046" s="1" t="s">
        <v>1133</v>
      </c>
      <c r="J1046" s="1" t="s">
        <v>16</v>
      </c>
      <c r="K1046" s="1" t="s">
        <v>2165</v>
      </c>
      <c r="L1046" s="1" t="s">
        <v>1698</v>
      </c>
      <c r="M1046">
        <f t="shared" si="112"/>
        <v>600</v>
      </c>
      <c r="N1046" t="str">
        <f t="shared" si="113"/>
        <v>1939-10-23</v>
      </c>
      <c r="O1046">
        <f t="shared" si="114"/>
        <v>73</v>
      </c>
      <c r="P1046" t="str">
        <f t="shared" si="115"/>
        <v>mężczyzna</v>
      </c>
      <c r="Q1046">
        <f t="shared" si="116"/>
        <v>85</v>
      </c>
      <c r="R1046">
        <f t="shared" si="117"/>
        <v>48</v>
      </c>
      <c r="S1046">
        <f t="shared" ca="1" si="118"/>
        <v>0</v>
      </c>
    </row>
    <row r="1047" spans="1:19">
      <c r="A1047" s="1" t="s">
        <v>24</v>
      </c>
      <c r="B1047" s="2">
        <v>400</v>
      </c>
      <c r="C1047" s="1">
        <v>0</v>
      </c>
      <c r="D1047" s="1" t="s">
        <v>2173</v>
      </c>
      <c r="E1047" s="1">
        <v>13</v>
      </c>
      <c r="F1047" s="3">
        <v>989.62</v>
      </c>
      <c r="G1047" s="1">
        <v>0</v>
      </c>
      <c r="H1047" s="1" t="s">
        <v>2174</v>
      </c>
      <c r="I1047" s="1" t="s">
        <v>2175</v>
      </c>
      <c r="J1047" s="1" t="s">
        <v>16</v>
      </c>
      <c r="K1047" s="1" t="s">
        <v>16</v>
      </c>
      <c r="L1047" s="1" t="s">
        <v>28</v>
      </c>
      <c r="M1047">
        <f t="shared" si="112"/>
        <v>400</v>
      </c>
      <c r="N1047" t="str">
        <f t="shared" si="113"/>
        <v>1961-05-08</v>
      </c>
      <c r="O1047">
        <f t="shared" si="114"/>
        <v>51</v>
      </c>
      <c r="P1047" t="str">
        <f t="shared" si="115"/>
        <v>mężczyzna</v>
      </c>
      <c r="Q1047">
        <f t="shared" si="116"/>
        <v>276</v>
      </c>
      <c r="R1047">
        <f t="shared" si="117"/>
        <v>48</v>
      </c>
      <c r="S1047">
        <f t="shared" ca="1" si="118"/>
        <v>0</v>
      </c>
    </row>
    <row r="1048" spans="1:19">
      <c r="A1048" s="1" t="s">
        <v>19</v>
      </c>
      <c r="B1048" s="2">
        <v>207.19</v>
      </c>
      <c r="C1048" s="1">
        <v>207.19</v>
      </c>
      <c r="D1048" s="1" t="s">
        <v>146</v>
      </c>
      <c r="E1048" s="1">
        <v>13</v>
      </c>
      <c r="F1048" s="3">
        <v>1350</v>
      </c>
      <c r="G1048" s="1">
        <v>6</v>
      </c>
      <c r="H1048" s="1" t="s">
        <v>2176</v>
      </c>
      <c r="I1048" s="1" t="s">
        <v>148</v>
      </c>
      <c r="J1048" s="1" t="s">
        <v>16</v>
      </c>
      <c r="K1048" s="1" t="s">
        <v>2165</v>
      </c>
      <c r="L1048" s="1" t="s">
        <v>2110</v>
      </c>
      <c r="M1048">
        <f t="shared" si="112"/>
        <v>207.19</v>
      </c>
      <c r="N1048" t="str">
        <f t="shared" si="113"/>
        <v>1946-02-12</v>
      </c>
      <c r="O1048">
        <f t="shared" si="114"/>
        <v>66</v>
      </c>
      <c r="P1048" t="str">
        <f t="shared" si="115"/>
        <v>kobieta</v>
      </c>
      <c r="Q1048">
        <f t="shared" si="116"/>
        <v>114</v>
      </c>
      <c r="R1048">
        <f t="shared" si="117"/>
        <v>48</v>
      </c>
      <c r="S1048">
        <f t="shared" ca="1" si="118"/>
        <v>1</v>
      </c>
    </row>
    <row r="1049" spans="1:19">
      <c r="A1049" s="1" t="s">
        <v>24</v>
      </c>
      <c r="B1049" s="2">
        <v>450</v>
      </c>
      <c r="C1049" s="1">
        <v>0</v>
      </c>
      <c r="D1049" s="1" t="s">
        <v>2177</v>
      </c>
      <c r="E1049" s="1">
        <v>12</v>
      </c>
      <c r="F1049" s="3">
        <v>993</v>
      </c>
      <c r="G1049" s="1">
        <v>0</v>
      </c>
      <c r="H1049" s="1" t="s">
        <v>2178</v>
      </c>
      <c r="I1049" s="1" t="s">
        <v>27</v>
      </c>
      <c r="J1049" s="1" t="s">
        <v>2179</v>
      </c>
      <c r="K1049" s="1" t="s">
        <v>16</v>
      </c>
      <c r="L1049" s="1" t="s">
        <v>28</v>
      </c>
      <c r="M1049">
        <f t="shared" si="112"/>
        <v>450</v>
      </c>
      <c r="N1049" t="str">
        <f t="shared" si="113"/>
        <v>1981-12-01</v>
      </c>
      <c r="O1049">
        <f t="shared" si="114"/>
        <v>31</v>
      </c>
      <c r="P1049" t="str">
        <f t="shared" si="115"/>
        <v>mężczyzna</v>
      </c>
      <c r="Q1049">
        <f t="shared" si="116"/>
        <v>6</v>
      </c>
      <c r="R1049">
        <f t="shared" si="117"/>
        <v>9</v>
      </c>
      <c r="S1049">
        <f t="shared" ca="1" si="118"/>
        <v>0</v>
      </c>
    </row>
    <row r="1050" spans="1:19">
      <c r="A1050" s="1" t="s">
        <v>19</v>
      </c>
      <c r="B1050" s="2">
        <v>300</v>
      </c>
      <c r="C1050" s="1">
        <v>300</v>
      </c>
      <c r="D1050" s="1" t="s">
        <v>1707</v>
      </c>
      <c r="E1050" s="1">
        <v>13</v>
      </c>
      <c r="F1050" s="3">
        <v>1412</v>
      </c>
      <c r="G1050" s="1">
        <v>1</v>
      </c>
      <c r="H1050" s="1" t="s">
        <v>2180</v>
      </c>
      <c r="I1050" s="1" t="s">
        <v>1709</v>
      </c>
      <c r="J1050" s="1" t="s">
        <v>16</v>
      </c>
      <c r="K1050" s="1" t="s">
        <v>2165</v>
      </c>
      <c r="L1050" s="1" t="s">
        <v>1992</v>
      </c>
      <c r="M1050">
        <f t="shared" si="112"/>
        <v>300</v>
      </c>
      <c r="N1050" t="str">
        <f t="shared" si="113"/>
        <v>1938-12-22</v>
      </c>
      <c r="O1050">
        <f t="shared" si="114"/>
        <v>74</v>
      </c>
      <c r="P1050" t="str">
        <f t="shared" si="115"/>
        <v>kobieta</v>
      </c>
      <c r="Q1050">
        <f t="shared" si="116"/>
        <v>207</v>
      </c>
      <c r="R1050">
        <f t="shared" si="117"/>
        <v>48</v>
      </c>
      <c r="S1050">
        <f t="shared" ca="1" si="118"/>
        <v>0</v>
      </c>
    </row>
    <row r="1051" spans="1:19">
      <c r="A1051" s="1" t="s">
        <v>19</v>
      </c>
      <c r="B1051" s="2">
        <v>441.54</v>
      </c>
      <c r="C1051" s="1">
        <v>441.54</v>
      </c>
      <c r="D1051" s="1" t="s">
        <v>848</v>
      </c>
      <c r="E1051" s="1">
        <v>98</v>
      </c>
      <c r="F1051" s="3">
        <v>4000</v>
      </c>
      <c r="G1051" s="1">
        <v>7</v>
      </c>
      <c r="H1051" s="1" t="s">
        <v>2181</v>
      </c>
      <c r="I1051" s="1" t="s">
        <v>850</v>
      </c>
      <c r="J1051" s="1" t="s">
        <v>16</v>
      </c>
      <c r="K1051" s="1" t="s">
        <v>2165</v>
      </c>
      <c r="L1051" s="1" t="s">
        <v>2070</v>
      </c>
      <c r="M1051">
        <f t="shared" si="112"/>
        <v>441.54</v>
      </c>
      <c r="N1051" t="str">
        <f t="shared" si="113"/>
        <v>1976-01-19</v>
      </c>
      <c r="O1051">
        <f t="shared" si="114"/>
        <v>36</v>
      </c>
      <c r="P1051" t="str">
        <f t="shared" si="115"/>
        <v>kobieta</v>
      </c>
      <c r="Q1051">
        <f t="shared" si="116"/>
        <v>22</v>
      </c>
      <c r="R1051">
        <f t="shared" si="117"/>
        <v>48</v>
      </c>
      <c r="S1051">
        <f t="shared" ca="1" si="118"/>
        <v>3</v>
      </c>
    </row>
    <row r="1052" spans="1:19">
      <c r="A1052" s="1" t="s">
        <v>19</v>
      </c>
      <c r="B1052" s="2">
        <v>247.28</v>
      </c>
      <c r="C1052" s="1">
        <v>247.28</v>
      </c>
      <c r="D1052" s="1" t="s">
        <v>111</v>
      </c>
      <c r="E1052" s="1">
        <v>13</v>
      </c>
      <c r="F1052" s="3">
        <v>611</v>
      </c>
      <c r="G1052" s="1">
        <v>6</v>
      </c>
      <c r="H1052" s="1" t="s">
        <v>2182</v>
      </c>
      <c r="I1052" s="1" t="s">
        <v>113</v>
      </c>
      <c r="J1052" s="1" t="s">
        <v>16</v>
      </c>
      <c r="K1052" s="1" t="s">
        <v>2165</v>
      </c>
      <c r="L1052" s="1" t="s">
        <v>2110</v>
      </c>
      <c r="M1052">
        <f t="shared" si="112"/>
        <v>247.28</v>
      </c>
      <c r="N1052" t="str">
        <f t="shared" si="113"/>
        <v>1954-06-09</v>
      </c>
      <c r="O1052">
        <f t="shared" si="114"/>
        <v>58</v>
      </c>
      <c r="P1052" t="str">
        <f t="shared" si="115"/>
        <v>kobieta</v>
      </c>
      <c r="Q1052">
        <f t="shared" si="116"/>
        <v>142</v>
      </c>
      <c r="R1052">
        <f t="shared" si="117"/>
        <v>48</v>
      </c>
      <c r="S1052">
        <f t="shared" ca="1" si="118"/>
        <v>1</v>
      </c>
    </row>
    <row r="1053" spans="1:19">
      <c r="A1053" s="1" t="s">
        <v>19</v>
      </c>
      <c r="B1053" s="2">
        <v>300</v>
      </c>
      <c r="C1053" s="1">
        <v>300</v>
      </c>
      <c r="D1053" s="1" t="s">
        <v>108</v>
      </c>
      <c r="E1053" s="1">
        <v>13</v>
      </c>
      <c r="F1053" s="3">
        <v>729.03</v>
      </c>
      <c r="G1053" s="1">
        <v>1</v>
      </c>
      <c r="H1053" s="1" t="s">
        <v>2183</v>
      </c>
      <c r="I1053" s="1" t="s">
        <v>110</v>
      </c>
      <c r="J1053" s="1" t="s">
        <v>16</v>
      </c>
      <c r="K1053" s="1" t="s">
        <v>2165</v>
      </c>
      <c r="L1053" s="1" t="s">
        <v>2110</v>
      </c>
      <c r="M1053">
        <f t="shared" si="112"/>
        <v>300</v>
      </c>
      <c r="N1053" t="str">
        <f t="shared" si="113"/>
        <v>1941-08-29</v>
      </c>
      <c r="O1053">
        <f t="shared" si="114"/>
        <v>71</v>
      </c>
      <c r="P1053" t="str">
        <f t="shared" si="115"/>
        <v>kobieta</v>
      </c>
      <c r="Q1053">
        <f t="shared" si="116"/>
        <v>260</v>
      </c>
      <c r="R1053">
        <f t="shared" si="117"/>
        <v>48</v>
      </c>
      <c r="S1053">
        <f t="shared" ca="1" si="118"/>
        <v>1</v>
      </c>
    </row>
    <row r="1054" spans="1:19">
      <c r="A1054" s="1" t="s">
        <v>56</v>
      </c>
      <c r="B1054" s="2">
        <v>200</v>
      </c>
      <c r="C1054" s="1">
        <v>200</v>
      </c>
      <c r="D1054" s="1" t="s">
        <v>865</v>
      </c>
      <c r="E1054" s="1">
        <v>11</v>
      </c>
      <c r="F1054" s="3">
        <v>1344.9</v>
      </c>
      <c r="G1054" s="1">
        <v>6</v>
      </c>
      <c r="H1054" s="1" t="s">
        <v>2184</v>
      </c>
      <c r="I1054" s="1" t="s">
        <v>867</v>
      </c>
      <c r="J1054" s="1" t="s">
        <v>16</v>
      </c>
      <c r="K1054" s="1" t="s">
        <v>2165</v>
      </c>
      <c r="L1054" s="1" t="s">
        <v>28</v>
      </c>
      <c r="M1054">
        <f t="shared" si="112"/>
        <v>200</v>
      </c>
      <c r="N1054" t="str">
        <f t="shared" si="113"/>
        <v>1966-11-24</v>
      </c>
      <c r="O1054">
        <f t="shared" si="114"/>
        <v>46</v>
      </c>
      <c r="P1054" t="str">
        <f t="shared" si="115"/>
        <v>kobieta</v>
      </c>
      <c r="Q1054">
        <f t="shared" si="116"/>
        <v>49</v>
      </c>
      <c r="R1054">
        <f t="shared" si="117"/>
        <v>48</v>
      </c>
      <c r="S1054">
        <f t="shared" ca="1" si="118"/>
        <v>5181</v>
      </c>
    </row>
    <row r="1055" spans="1:19">
      <c r="A1055" s="1" t="s">
        <v>19</v>
      </c>
      <c r="B1055" s="2">
        <v>202.28</v>
      </c>
      <c r="C1055" s="1">
        <v>202.28</v>
      </c>
      <c r="D1055" s="1" t="s">
        <v>115</v>
      </c>
      <c r="E1055" s="1">
        <v>11</v>
      </c>
      <c r="F1055" s="3">
        <v>3000</v>
      </c>
      <c r="G1055" s="1">
        <v>8</v>
      </c>
      <c r="H1055" s="1" t="s">
        <v>2185</v>
      </c>
      <c r="I1055" s="1" t="s">
        <v>117</v>
      </c>
      <c r="J1055" s="1" t="s">
        <v>16</v>
      </c>
      <c r="K1055" s="1" t="s">
        <v>2165</v>
      </c>
      <c r="L1055" s="1" t="s">
        <v>2110</v>
      </c>
      <c r="M1055">
        <f t="shared" si="112"/>
        <v>202.28</v>
      </c>
      <c r="N1055" t="str">
        <f t="shared" si="113"/>
        <v>1951-04-15</v>
      </c>
      <c r="O1055">
        <f t="shared" si="114"/>
        <v>61</v>
      </c>
      <c r="P1055" t="str">
        <f t="shared" si="115"/>
        <v>mężczyzna</v>
      </c>
      <c r="Q1055">
        <f t="shared" si="116"/>
        <v>215</v>
      </c>
      <c r="R1055">
        <f t="shared" si="117"/>
        <v>48</v>
      </c>
      <c r="S1055">
        <f t="shared" ca="1" si="118"/>
        <v>1</v>
      </c>
    </row>
    <row r="1056" spans="1:19">
      <c r="A1056" s="1" t="s">
        <v>19</v>
      </c>
      <c r="B1056" s="2">
        <v>1000</v>
      </c>
      <c r="C1056" s="1">
        <v>1000</v>
      </c>
      <c r="D1056" s="1" t="s">
        <v>1091</v>
      </c>
      <c r="E1056" s="1">
        <v>11</v>
      </c>
      <c r="F1056" s="3">
        <v>5800</v>
      </c>
      <c r="G1056" s="1">
        <v>7</v>
      </c>
      <c r="H1056" s="1" t="s">
        <v>2186</v>
      </c>
      <c r="I1056" s="1" t="s">
        <v>1093</v>
      </c>
      <c r="J1056" s="1" t="s">
        <v>16</v>
      </c>
      <c r="K1056" s="1" t="s">
        <v>2165</v>
      </c>
      <c r="L1056" s="1" t="s">
        <v>2130</v>
      </c>
      <c r="M1056">
        <f t="shared" si="112"/>
        <v>1000</v>
      </c>
      <c r="N1056" t="str">
        <f t="shared" si="113"/>
        <v>1964-04-01</v>
      </c>
      <c r="O1056">
        <f t="shared" si="114"/>
        <v>48</v>
      </c>
      <c r="P1056" t="str">
        <f t="shared" si="115"/>
        <v>kobieta</v>
      </c>
      <c r="Q1056">
        <f t="shared" si="116"/>
        <v>57</v>
      </c>
      <c r="R1056">
        <f t="shared" si="117"/>
        <v>48</v>
      </c>
      <c r="S1056">
        <f t="shared" ca="1" si="118"/>
        <v>2</v>
      </c>
    </row>
    <row r="1057" spans="1:19">
      <c r="A1057" s="1" t="s">
        <v>19</v>
      </c>
      <c r="B1057" s="2">
        <v>500</v>
      </c>
      <c r="C1057" s="1">
        <v>500</v>
      </c>
      <c r="D1057" s="1" t="s">
        <v>1738</v>
      </c>
      <c r="E1057" s="1">
        <v>13</v>
      </c>
      <c r="F1057" s="3">
        <v>1248</v>
      </c>
      <c r="G1057" s="1">
        <v>1</v>
      </c>
      <c r="H1057" s="1" t="s">
        <v>2187</v>
      </c>
      <c r="I1057" s="1" t="s">
        <v>1740</v>
      </c>
      <c r="J1057" s="1" t="s">
        <v>16</v>
      </c>
      <c r="K1057" s="1" t="s">
        <v>2188</v>
      </c>
      <c r="L1057" s="1" t="s">
        <v>2070</v>
      </c>
      <c r="M1057">
        <f t="shared" si="112"/>
        <v>500</v>
      </c>
      <c r="N1057" t="str">
        <f t="shared" si="113"/>
        <v>1936-02-22</v>
      </c>
      <c r="O1057">
        <f t="shared" si="114"/>
        <v>76</v>
      </c>
      <c r="P1057" t="str">
        <f t="shared" si="115"/>
        <v>kobieta</v>
      </c>
      <c r="Q1057">
        <f t="shared" si="116"/>
        <v>253</v>
      </c>
      <c r="R1057">
        <f t="shared" si="117"/>
        <v>48</v>
      </c>
      <c r="S1057">
        <f t="shared" ca="1" si="118"/>
        <v>1</v>
      </c>
    </row>
    <row r="1058" spans="1:19">
      <c r="A1058" s="1" t="s">
        <v>19</v>
      </c>
      <c r="B1058" s="2">
        <v>500</v>
      </c>
      <c r="C1058" s="1">
        <v>500</v>
      </c>
      <c r="D1058" s="1" t="s">
        <v>1213</v>
      </c>
      <c r="E1058" s="1">
        <v>13</v>
      </c>
      <c r="F1058" s="3">
        <v>1000</v>
      </c>
      <c r="G1058" s="1">
        <v>7</v>
      </c>
      <c r="H1058" s="1" t="s">
        <v>2189</v>
      </c>
      <c r="I1058" s="1" t="s">
        <v>1215</v>
      </c>
      <c r="J1058" s="1" t="s">
        <v>16</v>
      </c>
      <c r="K1058" s="1" t="s">
        <v>2188</v>
      </c>
      <c r="L1058" s="1" t="s">
        <v>2070</v>
      </c>
      <c r="M1058">
        <f t="shared" si="112"/>
        <v>500</v>
      </c>
      <c r="N1058" t="str">
        <f t="shared" si="113"/>
        <v>1951-02-15</v>
      </c>
      <c r="O1058">
        <f t="shared" si="114"/>
        <v>61</v>
      </c>
      <c r="P1058" t="str">
        <f t="shared" si="115"/>
        <v>kobieta</v>
      </c>
      <c r="Q1058">
        <f t="shared" si="116"/>
        <v>71</v>
      </c>
      <c r="R1058">
        <f t="shared" si="117"/>
        <v>48</v>
      </c>
      <c r="S1058">
        <f t="shared" ca="1" si="118"/>
        <v>1</v>
      </c>
    </row>
    <row r="1059" spans="1:19">
      <c r="A1059" s="1" t="s">
        <v>24</v>
      </c>
      <c r="B1059" s="2">
        <v>500</v>
      </c>
      <c r="C1059" s="1">
        <v>0</v>
      </c>
      <c r="D1059" s="1" t="s">
        <v>2190</v>
      </c>
      <c r="E1059" s="1">
        <v>13</v>
      </c>
      <c r="F1059" s="3">
        <v>1082</v>
      </c>
      <c r="G1059" s="1">
        <v>0</v>
      </c>
      <c r="H1059" s="1" t="s">
        <v>2191</v>
      </c>
      <c r="I1059" s="1" t="s">
        <v>2192</v>
      </c>
      <c r="J1059" s="1" t="s">
        <v>16</v>
      </c>
      <c r="K1059" s="1" t="s">
        <v>16</v>
      </c>
      <c r="L1059" s="1" t="s">
        <v>28</v>
      </c>
      <c r="M1059">
        <f t="shared" si="112"/>
        <v>500</v>
      </c>
      <c r="N1059" t="str">
        <f t="shared" si="113"/>
        <v>1942-07-05</v>
      </c>
      <c r="O1059">
        <f t="shared" si="114"/>
        <v>70</v>
      </c>
      <c r="P1059" t="str">
        <f t="shared" si="115"/>
        <v>kobieta</v>
      </c>
      <c r="Q1059">
        <f t="shared" si="116"/>
        <v>180</v>
      </c>
      <c r="R1059">
        <f t="shared" si="117"/>
        <v>48</v>
      </c>
      <c r="S1059">
        <f t="shared" ca="1" si="118"/>
        <v>0</v>
      </c>
    </row>
    <row r="1060" spans="1:19">
      <c r="A1060" s="1" t="s">
        <v>19</v>
      </c>
      <c r="B1060" s="2">
        <v>400</v>
      </c>
      <c r="C1060" s="1">
        <v>400</v>
      </c>
      <c r="D1060" s="1" t="s">
        <v>892</v>
      </c>
      <c r="E1060" s="1">
        <v>13</v>
      </c>
      <c r="F1060" s="3">
        <v>917</v>
      </c>
      <c r="G1060" s="1">
        <v>1</v>
      </c>
      <c r="H1060" s="1" t="s">
        <v>2193</v>
      </c>
      <c r="I1060" s="1" t="s">
        <v>894</v>
      </c>
      <c r="J1060" s="1" t="s">
        <v>16</v>
      </c>
      <c r="K1060" s="1" t="s">
        <v>2188</v>
      </c>
      <c r="L1060" s="1" t="s">
        <v>2130</v>
      </c>
      <c r="M1060">
        <f t="shared" si="112"/>
        <v>400</v>
      </c>
      <c r="N1060" t="str">
        <f t="shared" si="113"/>
        <v>1948-09-19</v>
      </c>
      <c r="O1060">
        <f t="shared" si="114"/>
        <v>64</v>
      </c>
      <c r="P1060" t="str">
        <f t="shared" si="115"/>
        <v>kobieta</v>
      </c>
      <c r="Q1060">
        <f t="shared" si="116"/>
        <v>79</v>
      </c>
      <c r="R1060">
        <f t="shared" si="117"/>
        <v>48</v>
      </c>
      <c r="S1060">
        <f t="shared" ca="1" si="118"/>
        <v>0</v>
      </c>
    </row>
    <row r="1061" spans="1:19">
      <c r="A1061" s="1" t="s">
        <v>19</v>
      </c>
      <c r="B1061" s="2">
        <v>500</v>
      </c>
      <c r="C1061" s="1">
        <v>500</v>
      </c>
      <c r="D1061" s="1" t="s">
        <v>1230</v>
      </c>
      <c r="E1061" s="1">
        <v>13</v>
      </c>
      <c r="F1061" s="3">
        <v>864.34</v>
      </c>
      <c r="G1061" s="1">
        <v>2</v>
      </c>
      <c r="H1061" s="1" t="s">
        <v>2194</v>
      </c>
      <c r="I1061" s="1" t="s">
        <v>1232</v>
      </c>
      <c r="J1061" s="1" t="s">
        <v>16</v>
      </c>
      <c r="K1061" s="1" t="s">
        <v>2188</v>
      </c>
      <c r="L1061" s="1" t="s">
        <v>2130</v>
      </c>
      <c r="M1061">
        <f t="shared" si="112"/>
        <v>500</v>
      </c>
      <c r="N1061" t="str">
        <f t="shared" si="113"/>
        <v>1964-05-19</v>
      </c>
      <c r="O1061">
        <f t="shared" si="114"/>
        <v>48</v>
      </c>
      <c r="P1061" t="str">
        <f t="shared" si="115"/>
        <v>mężczyzna</v>
      </c>
      <c r="Q1061">
        <f t="shared" si="116"/>
        <v>159</v>
      </c>
      <c r="R1061">
        <f t="shared" si="117"/>
        <v>48</v>
      </c>
      <c r="S1061">
        <f t="shared" ca="1" si="118"/>
        <v>0</v>
      </c>
    </row>
    <row r="1062" spans="1:19">
      <c r="A1062" s="1" t="s">
        <v>19</v>
      </c>
      <c r="B1062" s="2">
        <v>700</v>
      </c>
      <c r="C1062" s="1">
        <v>700</v>
      </c>
      <c r="D1062" s="1" t="s">
        <v>1009</v>
      </c>
      <c r="E1062" s="1">
        <v>16</v>
      </c>
      <c r="F1062" s="3">
        <v>980</v>
      </c>
      <c r="G1062" s="1">
        <v>1</v>
      </c>
      <c r="H1062" s="1" t="s">
        <v>2195</v>
      </c>
      <c r="I1062" s="1" t="s">
        <v>1011</v>
      </c>
      <c r="J1062" s="1" t="s">
        <v>16</v>
      </c>
      <c r="K1062" s="1" t="s">
        <v>2188</v>
      </c>
      <c r="L1062" s="1" t="s">
        <v>2091</v>
      </c>
      <c r="M1062">
        <f t="shared" si="112"/>
        <v>700</v>
      </c>
      <c r="N1062" t="str">
        <f t="shared" si="113"/>
        <v>1943-05-11</v>
      </c>
      <c r="O1062">
        <f t="shared" si="114"/>
        <v>69</v>
      </c>
      <c r="P1062" t="str">
        <f t="shared" si="115"/>
        <v>kobieta</v>
      </c>
      <c r="Q1062">
        <f t="shared" si="116"/>
        <v>134</v>
      </c>
      <c r="R1062">
        <f t="shared" si="117"/>
        <v>48</v>
      </c>
      <c r="S1062">
        <f t="shared" ca="1" si="118"/>
        <v>6</v>
      </c>
    </row>
    <row r="1063" spans="1:19">
      <c r="A1063" s="1" t="s">
        <v>24</v>
      </c>
      <c r="B1063" s="2">
        <v>200</v>
      </c>
      <c r="C1063" s="1">
        <v>0</v>
      </c>
      <c r="D1063" s="1" t="s">
        <v>2196</v>
      </c>
      <c r="E1063" s="1">
        <v>13</v>
      </c>
      <c r="F1063" s="3">
        <v>765</v>
      </c>
      <c r="G1063" s="1">
        <v>0</v>
      </c>
      <c r="H1063" s="1" t="s">
        <v>2197</v>
      </c>
      <c r="I1063" s="1" t="s">
        <v>2198</v>
      </c>
      <c r="J1063" s="1" t="s">
        <v>16</v>
      </c>
      <c r="K1063" s="1" t="s">
        <v>16</v>
      </c>
      <c r="L1063" s="1" t="s">
        <v>28</v>
      </c>
      <c r="M1063">
        <f t="shared" si="112"/>
        <v>200</v>
      </c>
      <c r="N1063" t="str">
        <f t="shared" si="113"/>
        <v>1950-08-02</v>
      </c>
      <c r="O1063">
        <f t="shared" si="114"/>
        <v>62</v>
      </c>
      <c r="P1063" t="str">
        <f t="shared" si="115"/>
        <v>kobieta</v>
      </c>
      <c r="Q1063">
        <f t="shared" si="116"/>
        <v>624</v>
      </c>
      <c r="R1063">
        <f t="shared" si="117"/>
        <v>48</v>
      </c>
      <c r="S1063">
        <f t="shared" ca="1" si="118"/>
        <v>0</v>
      </c>
    </row>
    <row r="1064" spans="1:19">
      <c r="A1064" s="1" t="s">
        <v>12</v>
      </c>
      <c r="B1064" s="2">
        <v>300</v>
      </c>
      <c r="C1064" s="1">
        <v>300</v>
      </c>
      <c r="D1064" s="1" t="s">
        <v>361</v>
      </c>
      <c r="E1064" s="1">
        <v>12</v>
      </c>
      <c r="F1064" s="3">
        <v>1000</v>
      </c>
      <c r="G1064" s="1">
        <v>5</v>
      </c>
      <c r="H1064" s="1" t="s">
        <v>2199</v>
      </c>
      <c r="I1064" s="1" t="s">
        <v>363</v>
      </c>
      <c r="J1064" s="1" t="s">
        <v>364</v>
      </c>
      <c r="K1064" s="1" t="s">
        <v>2188</v>
      </c>
      <c r="L1064" s="1" t="s">
        <v>357</v>
      </c>
      <c r="M1064">
        <f t="shared" si="112"/>
        <v>300</v>
      </c>
      <c r="N1064" t="str">
        <f t="shared" si="113"/>
        <v>1961-12-09</v>
      </c>
      <c r="O1064">
        <f t="shared" si="114"/>
        <v>51</v>
      </c>
      <c r="P1064" t="str">
        <f t="shared" si="115"/>
        <v>mężczyzna</v>
      </c>
      <c r="Q1064">
        <f t="shared" si="116"/>
        <v>46</v>
      </c>
      <c r="R1064">
        <f t="shared" si="117"/>
        <v>16</v>
      </c>
      <c r="S1064">
        <f t="shared" ca="1" si="118"/>
        <v>0</v>
      </c>
    </row>
    <row r="1065" spans="1:19">
      <c r="A1065" s="1" t="s">
        <v>12</v>
      </c>
      <c r="B1065" s="2">
        <v>300</v>
      </c>
      <c r="C1065" s="1">
        <v>300</v>
      </c>
      <c r="D1065" s="1" t="s">
        <v>883</v>
      </c>
      <c r="E1065" s="1">
        <v>15</v>
      </c>
      <c r="F1065" s="3">
        <v>1100.79</v>
      </c>
      <c r="G1065" s="1">
        <v>0</v>
      </c>
      <c r="H1065" s="1" t="s">
        <v>2200</v>
      </c>
      <c r="I1065" s="1" t="s">
        <v>885</v>
      </c>
      <c r="J1065" s="1" t="s">
        <v>16</v>
      </c>
      <c r="K1065" s="1" t="s">
        <v>2188</v>
      </c>
      <c r="L1065" s="1" t="s">
        <v>2110</v>
      </c>
      <c r="M1065">
        <f t="shared" si="112"/>
        <v>300</v>
      </c>
      <c r="N1065" t="str">
        <f t="shared" si="113"/>
        <v>1949-01-19</v>
      </c>
      <c r="O1065">
        <f t="shared" si="114"/>
        <v>63</v>
      </c>
      <c r="P1065" t="str">
        <f t="shared" si="115"/>
        <v>mężczyzna</v>
      </c>
      <c r="Q1065">
        <f t="shared" si="116"/>
        <v>93</v>
      </c>
      <c r="R1065">
        <f t="shared" si="117"/>
        <v>48</v>
      </c>
      <c r="S1065">
        <f t="shared" ca="1" si="118"/>
        <v>0</v>
      </c>
    </row>
    <row r="1066" spans="1:19">
      <c r="A1066" s="1" t="s">
        <v>19</v>
      </c>
      <c r="B1066" s="2">
        <v>200</v>
      </c>
      <c r="C1066" s="1">
        <v>200</v>
      </c>
      <c r="D1066" s="1" t="s">
        <v>2201</v>
      </c>
      <c r="E1066" s="1">
        <v>12</v>
      </c>
      <c r="F1066" s="3">
        <v>700</v>
      </c>
      <c r="G1066" s="1">
        <v>0</v>
      </c>
      <c r="H1066" s="1" t="s">
        <v>2202</v>
      </c>
      <c r="I1066" s="1" t="s">
        <v>2203</v>
      </c>
      <c r="J1066" s="1" t="s">
        <v>246</v>
      </c>
      <c r="K1066" s="1" t="s">
        <v>2188</v>
      </c>
      <c r="L1066" s="1" t="s">
        <v>2062</v>
      </c>
      <c r="M1066">
        <f t="shared" si="112"/>
        <v>200</v>
      </c>
      <c r="N1066" t="str">
        <f t="shared" si="113"/>
        <v>1990-04-27</v>
      </c>
      <c r="O1066">
        <f t="shared" si="114"/>
        <v>22</v>
      </c>
      <c r="P1066" t="str">
        <f t="shared" si="115"/>
        <v>kobieta</v>
      </c>
      <c r="Q1066">
        <f t="shared" si="116"/>
        <v>3</v>
      </c>
      <c r="R1066">
        <f t="shared" si="117"/>
        <v>2</v>
      </c>
      <c r="S1066">
        <f t="shared" ca="1" si="118"/>
        <v>0</v>
      </c>
    </row>
    <row r="1067" spans="1:19">
      <c r="A1067" s="1" t="s">
        <v>19</v>
      </c>
      <c r="B1067" s="2">
        <v>430</v>
      </c>
      <c r="C1067" s="1">
        <v>430</v>
      </c>
      <c r="D1067" s="1" t="s">
        <v>955</v>
      </c>
      <c r="E1067" s="1">
        <v>11</v>
      </c>
      <c r="F1067" s="3">
        <v>2470</v>
      </c>
      <c r="G1067" s="1">
        <v>4</v>
      </c>
      <c r="H1067" s="1" t="s">
        <v>2204</v>
      </c>
      <c r="I1067" s="1" t="s">
        <v>957</v>
      </c>
      <c r="J1067" s="1" t="s">
        <v>16</v>
      </c>
      <c r="K1067" s="1" t="s">
        <v>2188</v>
      </c>
      <c r="L1067" s="1" t="s">
        <v>2057</v>
      </c>
      <c r="M1067">
        <f t="shared" si="112"/>
        <v>430</v>
      </c>
      <c r="N1067" t="str">
        <f t="shared" si="113"/>
        <v>1973-03-26</v>
      </c>
      <c r="O1067">
        <f t="shared" si="114"/>
        <v>39</v>
      </c>
      <c r="P1067" t="str">
        <f t="shared" si="115"/>
        <v>mężczyzna</v>
      </c>
      <c r="Q1067">
        <f t="shared" si="116"/>
        <v>69</v>
      </c>
      <c r="R1067">
        <f t="shared" si="117"/>
        <v>48</v>
      </c>
      <c r="S1067">
        <f t="shared" ca="1" si="118"/>
        <v>2</v>
      </c>
    </row>
    <row r="1068" spans="1:19">
      <c r="A1068" s="1" t="s">
        <v>19</v>
      </c>
      <c r="B1068" s="2">
        <v>300</v>
      </c>
      <c r="C1068" s="1">
        <v>300</v>
      </c>
      <c r="D1068" s="1" t="s">
        <v>536</v>
      </c>
      <c r="E1068" s="1">
        <v>13</v>
      </c>
      <c r="F1068" s="3">
        <v>2110</v>
      </c>
      <c r="G1068" s="1">
        <v>1</v>
      </c>
      <c r="H1068" s="1" t="s">
        <v>2205</v>
      </c>
      <c r="I1068" s="1" t="s">
        <v>538</v>
      </c>
      <c r="J1068" s="1" t="s">
        <v>16</v>
      </c>
      <c r="K1068" s="1" t="s">
        <v>2188</v>
      </c>
      <c r="L1068" s="1" t="s">
        <v>2161</v>
      </c>
      <c r="M1068">
        <f t="shared" si="112"/>
        <v>300</v>
      </c>
      <c r="N1068" t="str">
        <f t="shared" si="113"/>
        <v>1945-12-02</v>
      </c>
      <c r="O1068">
        <f t="shared" si="114"/>
        <v>67</v>
      </c>
      <c r="P1068" t="str">
        <f t="shared" si="115"/>
        <v>mężczyzna</v>
      </c>
      <c r="Q1068">
        <f t="shared" si="116"/>
        <v>104</v>
      </c>
      <c r="R1068">
        <f t="shared" si="117"/>
        <v>48</v>
      </c>
      <c r="S1068">
        <f t="shared" ca="1" si="118"/>
        <v>7</v>
      </c>
    </row>
    <row r="1069" spans="1:19">
      <c r="A1069" s="1" t="s">
        <v>19</v>
      </c>
      <c r="B1069" s="2">
        <v>200</v>
      </c>
      <c r="C1069" s="1">
        <v>200</v>
      </c>
      <c r="D1069" s="1" t="s">
        <v>32</v>
      </c>
      <c r="E1069" s="1">
        <v>11</v>
      </c>
      <c r="F1069" s="3">
        <v>1172.2</v>
      </c>
      <c r="G1069" s="1">
        <v>7</v>
      </c>
      <c r="H1069" s="1" t="s">
        <v>2206</v>
      </c>
      <c r="I1069" s="1" t="s">
        <v>34</v>
      </c>
      <c r="J1069" s="1" t="s">
        <v>16</v>
      </c>
      <c r="K1069" s="1" t="s">
        <v>2188</v>
      </c>
      <c r="L1069" s="1" t="s">
        <v>2207</v>
      </c>
      <c r="M1069">
        <f t="shared" si="112"/>
        <v>200</v>
      </c>
      <c r="N1069" t="str">
        <f t="shared" si="113"/>
        <v>1955-08-21</v>
      </c>
      <c r="O1069">
        <f t="shared" si="114"/>
        <v>57</v>
      </c>
      <c r="P1069" t="str">
        <f t="shared" si="115"/>
        <v>kobieta</v>
      </c>
      <c r="Q1069">
        <f t="shared" si="116"/>
        <v>40</v>
      </c>
      <c r="R1069">
        <f t="shared" si="117"/>
        <v>48</v>
      </c>
      <c r="S1069">
        <f t="shared" ca="1" si="118"/>
        <v>5</v>
      </c>
    </row>
    <row r="1070" spans="1:19">
      <c r="A1070" s="1" t="s">
        <v>24</v>
      </c>
      <c r="B1070" s="2">
        <v>200</v>
      </c>
      <c r="C1070" s="1">
        <v>0</v>
      </c>
      <c r="D1070" s="1" t="s">
        <v>2208</v>
      </c>
      <c r="E1070" s="1">
        <v>17</v>
      </c>
      <c r="F1070" s="3">
        <v>432.87</v>
      </c>
      <c r="G1070" s="1">
        <v>0</v>
      </c>
      <c r="H1070" s="1" t="s">
        <v>2209</v>
      </c>
      <c r="I1070" s="1" t="s">
        <v>2210</v>
      </c>
      <c r="J1070" s="1" t="s">
        <v>1701</v>
      </c>
      <c r="K1070" s="1" t="s">
        <v>16</v>
      </c>
      <c r="L1070" s="1" t="s">
        <v>28</v>
      </c>
      <c r="M1070">
        <f t="shared" si="112"/>
        <v>200</v>
      </c>
      <c r="N1070" t="str">
        <f t="shared" si="113"/>
        <v>1958-06-04</v>
      </c>
      <c r="O1070">
        <f t="shared" si="114"/>
        <v>54</v>
      </c>
      <c r="P1070" t="str">
        <f t="shared" si="115"/>
        <v>kobieta</v>
      </c>
      <c r="Q1070">
        <f t="shared" si="116"/>
        <v>148</v>
      </c>
      <c r="R1070">
        <f t="shared" si="117"/>
        <v>22</v>
      </c>
      <c r="S1070">
        <f t="shared" ca="1" si="118"/>
        <v>0</v>
      </c>
    </row>
    <row r="1071" spans="1:19">
      <c r="A1071" s="1" t="s">
        <v>19</v>
      </c>
      <c r="B1071" s="2">
        <v>350</v>
      </c>
      <c r="C1071" s="1">
        <v>350</v>
      </c>
      <c r="D1071" s="1" t="s">
        <v>253</v>
      </c>
      <c r="E1071" s="1">
        <v>12</v>
      </c>
      <c r="F1071" s="3">
        <v>1700</v>
      </c>
      <c r="G1071" s="1">
        <v>8</v>
      </c>
      <c r="H1071" s="1" t="s">
        <v>2211</v>
      </c>
      <c r="I1071" s="1" t="s">
        <v>255</v>
      </c>
      <c r="J1071" s="1" t="s">
        <v>2212</v>
      </c>
      <c r="K1071" s="1" t="s">
        <v>2188</v>
      </c>
      <c r="L1071" s="1" t="s">
        <v>2110</v>
      </c>
      <c r="M1071">
        <f t="shared" si="112"/>
        <v>350</v>
      </c>
      <c r="N1071" t="str">
        <f t="shared" si="113"/>
        <v>1957-06-27</v>
      </c>
      <c r="O1071">
        <f t="shared" si="114"/>
        <v>55</v>
      </c>
      <c r="P1071" t="str">
        <f t="shared" si="115"/>
        <v>kobieta</v>
      </c>
      <c r="Q1071">
        <f t="shared" si="116"/>
        <v>58</v>
      </c>
      <c r="R1071">
        <f t="shared" si="117"/>
        <v>11</v>
      </c>
      <c r="S1071">
        <f t="shared" ca="1" si="118"/>
        <v>0</v>
      </c>
    </row>
    <row r="1072" spans="1:19">
      <c r="A1072" s="1" t="s">
        <v>24</v>
      </c>
      <c r="B1072" s="2">
        <v>300</v>
      </c>
      <c r="C1072" s="1">
        <v>0</v>
      </c>
      <c r="D1072" s="1" t="s">
        <v>2213</v>
      </c>
      <c r="E1072" s="1">
        <v>98</v>
      </c>
      <c r="F1072" s="3">
        <v>1500</v>
      </c>
      <c r="G1072" s="1">
        <v>0</v>
      </c>
      <c r="H1072" s="1" t="s">
        <v>2214</v>
      </c>
      <c r="I1072" s="1" t="s">
        <v>2215</v>
      </c>
      <c r="J1072" s="1" t="s">
        <v>16</v>
      </c>
      <c r="K1072" s="1" t="s">
        <v>16</v>
      </c>
      <c r="L1072" s="1" t="s">
        <v>28</v>
      </c>
      <c r="M1072">
        <f t="shared" si="112"/>
        <v>300</v>
      </c>
      <c r="N1072" t="str">
        <f t="shared" si="113"/>
        <v>1989-02-06</v>
      </c>
      <c r="O1072">
        <f t="shared" si="114"/>
        <v>23</v>
      </c>
      <c r="P1072" t="str">
        <f t="shared" si="115"/>
        <v>mężczyzna</v>
      </c>
      <c r="Q1072">
        <f t="shared" si="116"/>
        <v>11</v>
      </c>
      <c r="R1072">
        <f t="shared" si="117"/>
        <v>48</v>
      </c>
      <c r="S1072">
        <f t="shared" ca="1" si="118"/>
        <v>0</v>
      </c>
    </row>
    <row r="1073" spans="1:19">
      <c r="A1073" s="1" t="s">
        <v>19</v>
      </c>
      <c r="B1073" s="2">
        <v>200</v>
      </c>
      <c r="C1073" s="1">
        <v>200</v>
      </c>
      <c r="D1073" s="1" t="s">
        <v>1753</v>
      </c>
      <c r="E1073" s="1">
        <v>11</v>
      </c>
      <c r="F1073" s="3">
        <v>1800</v>
      </c>
      <c r="G1073" s="1">
        <v>1</v>
      </c>
      <c r="H1073" s="1" t="s">
        <v>2216</v>
      </c>
      <c r="I1073" s="1" t="s">
        <v>1755</v>
      </c>
      <c r="J1073" s="1" t="s">
        <v>16</v>
      </c>
      <c r="K1073" s="1" t="s">
        <v>2188</v>
      </c>
      <c r="L1073" s="1" t="s">
        <v>2057</v>
      </c>
      <c r="M1073">
        <f t="shared" si="112"/>
        <v>200</v>
      </c>
      <c r="N1073" t="str">
        <f t="shared" si="113"/>
        <v>1954-08-25</v>
      </c>
      <c r="O1073">
        <f t="shared" si="114"/>
        <v>58</v>
      </c>
      <c r="P1073" t="str">
        <f t="shared" si="115"/>
        <v>mężczyzna</v>
      </c>
      <c r="Q1073">
        <f t="shared" si="116"/>
        <v>164</v>
      </c>
      <c r="R1073">
        <f t="shared" si="117"/>
        <v>48</v>
      </c>
      <c r="S1073">
        <f t="shared" ca="1" si="118"/>
        <v>2</v>
      </c>
    </row>
    <row r="1074" spans="1:19">
      <c r="A1074" s="1" t="s">
        <v>24</v>
      </c>
      <c r="B1074" s="2">
        <v>700</v>
      </c>
      <c r="C1074" s="1">
        <v>0</v>
      </c>
      <c r="D1074" s="1" t="s">
        <v>2217</v>
      </c>
      <c r="E1074" s="1">
        <v>12</v>
      </c>
      <c r="F1074" s="3">
        <v>1700</v>
      </c>
      <c r="G1074" s="1">
        <v>0</v>
      </c>
      <c r="H1074" s="1" t="s">
        <v>2218</v>
      </c>
      <c r="I1074" s="1" t="s">
        <v>1180</v>
      </c>
      <c r="J1074" s="1" t="s">
        <v>246</v>
      </c>
      <c r="K1074" s="1" t="s">
        <v>16</v>
      </c>
      <c r="L1074" s="1" t="s">
        <v>28</v>
      </c>
      <c r="M1074">
        <f t="shared" si="112"/>
        <v>700</v>
      </c>
      <c r="N1074" t="str">
        <f t="shared" si="113"/>
        <v>1977-02-26</v>
      </c>
      <c r="O1074">
        <f t="shared" si="114"/>
        <v>35</v>
      </c>
      <c r="P1074" t="str">
        <f t="shared" si="115"/>
        <v>mężczyzna</v>
      </c>
      <c r="Q1074">
        <f t="shared" si="116"/>
        <v>0</v>
      </c>
      <c r="R1074">
        <f t="shared" si="117"/>
        <v>2</v>
      </c>
      <c r="S1074">
        <f t="shared" ca="1" si="118"/>
        <v>0</v>
      </c>
    </row>
    <row r="1075" spans="1:19">
      <c r="A1075" s="1" t="s">
        <v>12</v>
      </c>
      <c r="B1075" s="2">
        <v>523.42999999999995</v>
      </c>
      <c r="C1075" s="1">
        <v>523.42999999999995</v>
      </c>
      <c r="D1075" s="1" t="s">
        <v>926</v>
      </c>
      <c r="E1075" s="1">
        <v>11</v>
      </c>
      <c r="F1075" s="3">
        <v>2050</v>
      </c>
      <c r="G1075" s="1">
        <v>2</v>
      </c>
      <c r="H1075" s="1" t="s">
        <v>2219</v>
      </c>
      <c r="I1075" s="1" t="s">
        <v>928</v>
      </c>
      <c r="J1075" s="1" t="s">
        <v>16</v>
      </c>
      <c r="K1075" s="1" t="s">
        <v>2188</v>
      </c>
      <c r="L1075" s="1" t="s">
        <v>2070</v>
      </c>
      <c r="M1075">
        <f t="shared" si="112"/>
        <v>523.42999999999995</v>
      </c>
      <c r="N1075" t="str">
        <f t="shared" si="113"/>
        <v>1979-02-13</v>
      </c>
      <c r="O1075">
        <f t="shared" si="114"/>
        <v>33</v>
      </c>
      <c r="P1075" t="str">
        <f t="shared" si="115"/>
        <v>mężczyzna</v>
      </c>
      <c r="Q1075">
        <f t="shared" si="116"/>
        <v>121</v>
      </c>
      <c r="R1075">
        <f t="shared" si="117"/>
        <v>48</v>
      </c>
      <c r="S1075">
        <f t="shared" ca="1" si="118"/>
        <v>1</v>
      </c>
    </row>
    <row r="1076" spans="1:19">
      <c r="A1076" s="1" t="s">
        <v>19</v>
      </c>
      <c r="B1076" s="2">
        <v>624.85</v>
      </c>
      <c r="C1076" s="1">
        <v>624.85</v>
      </c>
      <c r="D1076" s="1" t="s">
        <v>749</v>
      </c>
      <c r="E1076" s="1">
        <v>11</v>
      </c>
      <c r="F1076" s="3">
        <v>3200</v>
      </c>
      <c r="G1076" s="1">
        <v>7</v>
      </c>
      <c r="H1076" s="1" t="s">
        <v>2220</v>
      </c>
      <c r="I1076" s="1" t="s">
        <v>751</v>
      </c>
      <c r="J1076" s="1" t="s">
        <v>16</v>
      </c>
      <c r="K1076" s="1" t="s">
        <v>2188</v>
      </c>
      <c r="L1076" s="1" t="s">
        <v>2207</v>
      </c>
      <c r="M1076">
        <f t="shared" si="112"/>
        <v>624.85</v>
      </c>
      <c r="N1076" t="str">
        <f t="shared" si="113"/>
        <v>1960-12-10</v>
      </c>
      <c r="O1076">
        <f t="shared" si="114"/>
        <v>52</v>
      </c>
      <c r="P1076" t="str">
        <f t="shared" si="115"/>
        <v>kobieta</v>
      </c>
      <c r="Q1076">
        <f t="shared" si="116"/>
        <v>57</v>
      </c>
      <c r="R1076">
        <f t="shared" si="117"/>
        <v>48</v>
      </c>
      <c r="S1076">
        <f t="shared" ca="1" si="118"/>
        <v>5</v>
      </c>
    </row>
    <row r="1077" spans="1:19">
      <c r="A1077" s="1" t="s">
        <v>19</v>
      </c>
      <c r="B1077" s="2">
        <v>537.15</v>
      </c>
      <c r="C1077" s="1">
        <v>537.15</v>
      </c>
      <c r="D1077" s="1" t="s">
        <v>840</v>
      </c>
      <c r="E1077" s="1">
        <v>13</v>
      </c>
      <c r="F1077" s="3">
        <v>962</v>
      </c>
      <c r="G1077" s="1">
        <v>3</v>
      </c>
      <c r="H1077" s="1" t="s">
        <v>2221</v>
      </c>
      <c r="I1077" s="1" t="s">
        <v>669</v>
      </c>
      <c r="J1077" s="1" t="s">
        <v>16</v>
      </c>
      <c r="K1077" s="1" t="s">
        <v>2222</v>
      </c>
      <c r="L1077" s="1" t="s">
        <v>2070</v>
      </c>
      <c r="M1077">
        <f t="shared" si="112"/>
        <v>537.15</v>
      </c>
      <c r="N1077" t="str">
        <f t="shared" si="113"/>
        <v>1949-10-06</v>
      </c>
      <c r="O1077">
        <f t="shared" si="114"/>
        <v>63</v>
      </c>
      <c r="P1077" t="str">
        <f t="shared" si="115"/>
        <v>kobieta</v>
      </c>
      <c r="Q1077">
        <f t="shared" si="116"/>
        <v>68</v>
      </c>
      <c r="R1077">
        <f t="shared" si="117"/>
        <v>48</v>
      </c>
      <c r="S1077">
        <f t="shared" ca="1" si="118"/>
        <v>0</v>
      </c>
    </row>
    <row r="1078" spans="1:19">
      <c r="A1078" s="1" t="s">
        <v>19</v>
      </c>
      <c r="B1078" s="2">
        <v>437.15</v>
      </c>
      <c r="C1078" s="1">
        <v>437.15</v>
      </c>
      <c r="D1078" s="1" t="s">
        <v>1094</v>
      </c>
      <c r="E1078" s="1">
        <v>13</v>
      </c>
      <c r="F1078" s="3">
        <v>1362</v>
      </c>
      <c r="G1078" s="1">
        <v>7</v>
      </c>
      <c r="H1078" s="1" t="s">
        <v>2223</v>
      </c>
      <c r="I1078" s="1" t="s">
        <v>1000</v>
      </c>
      <c r="J1078" s="1" t="s">
        <v>16</v>
      </c>
      <c r="K1078" s="1" t="s">
        <v>2222</v>
      </c>
      <c r="L1078" s="1" t="s">
        <v>2091</v>
      </c>
      <c r="M1078">
        <f t="shared" si="112"/>
        <v>437.15</v>
      </c>
      <c r="N1078" t="str">
        <f t="shared" si="113"/>
        <v>1950-09-11</v>
      </c>
      <c r="O1078">
        <f t="shared" si="114"/>
        <v>62</v>
      </c>
      <c r="P1078" t="str">
        <f t="shared" si="115"/>
        <v>kobieta</v>
      </c>
      <c r="Q1078">
        <f t="shared" si="116"/>
        <v>59</v>
      </c>
      <c r="R1078">
        <f t="shared" si="117"/>
        <v>48</v>
      </c>
      <c r="S1078">
        <f t="shared" ca="1" si="118"/>
        <v>5</v>
      </c>
    </row>
    <row r="1079" spans="1:19">
      <c r="A1079" s="1" t="s">
        <v>19</v>
      </c>
      <c r="B1079" s="2">
        <v>600</v>
      </c>
      <c r="C1079" s="1">
        <v>600</v>
      </c>
      <c r="D1079" s="1" t="s">
        <v>516</v>
      </c>
      <c r="E1079" s="1">
        <v>11</v>
      </c>
      <c r="F1079" s="3">
        <v>1443</v>
      </c>
      <c r="G1079" s="1">
        <v>2</v>
      </c>
      <c r="H1079" s="1" t="s">
        <v>2224</v>
      </c>
      <c r="I1079" s="1" t="s">
        <v>62</v>
      </c>
      <c r="J1079" s="1" t="s">
        <v>16</v>
      </c>
      <c r="K1079" s="1" t="s">
        <v>2222</v>
      </c>
      <c r="L1079" s="1" t="s">
        <v>2057</v>
      </c>
      <c r="M1079">
        <f t="shared" si="112"/>
        <v>600</v>
      </c>
      <c r="N1079" t="str">
        <f t="shared" si="113"/>
        <v>1968-06-20</v>
      </c>
      <c r="O1079">
        <f t="shared" si="114"/>
        <v>44</v>
      </c>
      <c r="P1079" t="str">
        <f t="shared" si="115"/>
        <v>kobieta</v>
      </c>
      <c r="Q1079">
        <f t="shared" si="116"/>
        <v>37</v>
      </c>
      <c r="R1079">
        <f t="shared" si="117"/>
        <v>48</v>
      </c>
      <c r="S1079">
        <f t="shared" ca="1" si="118"/>
        <v>1</v>
      </c>
    </row>
    <row r="1080" spans="1:19">
      <c r="A1080" s="1" t="s">
        <v>12</v>
      </c>
      <c r="B1080" s="2">
        <v>200</v>
      </c>
      <c r="C1080" s="1">
        <v>200</v>
      </c>
      <c r="D1080" s="1" t="s">
        <v>104</v>
      </c>
      <c r="E1080" s="1">
        <v>17</v>
      </c>
      <c r="F1080" s="3">
        <v>985</v>
      </c>
      <c r="G1080" s="1">
        <v>8</v>
      </c>
      <c r="H1080" s="1" t="s">
        <v>2225</v>
      </c>
      <c r="I1080" s="1" t="s">
        <v>106</v>
      </c>
      <c r="J1080" s="1" t="s">
        <v>107</v>
      </c>
      <c r="K1080" s="1" t="s">
        <v>2222</v>
      </c>
      <c r="L1080" s="1" t="s">
        <v>2226</v>
      </c>
      <c r="M1080">
        <f t="shared" si="112"/>
        <v>200</v>
      </c>
      <c r="N1080" t="str">
        <f t="shared" si="113"/>
        <v>1991-01-04</v>
      </c>
      <c r="O1080">
        <f t="shared" si="114"/>
        <v>21</v>
      </c>
      <c r="P1080" t="str">
        <f t="shared" si="115"/>
        <v>mężczyzna</v>
      </c>
      <c r="Q1080">
        <f t="shared" si="116"/>
        <v>16</v>
      </c>
      <c r="R1080">
        <f t="shared" si="117"/>
        <v>1</v>
      </c>
      <c r="S1080">
        <f t="shared" ca="1" si="118"/>
        <v>11</v>
      </c>
    </row>
    <row r="1081" spans="1:19">
      <c r="A1081" s="1" t="s">
        <v>19</v>
      </c>
      <c r="B1081" s="2">
        <v>235.97</v>
      </c>
      <c r="C1081" s="1">
        <v>235.97</v>
      </c>
      <c r="D1081" s="1" t="s">
        <v>1031</v>
      </c>
      <c r="E1081" s="1">
        <v>12</v>
      </c>
      <c r="F1081" s="3">
        <v>1100</v>
      </c>
      <c r="G1081" s="1">
        <v>7</v>
      </c>
      <c r="H1081" s="1" t="s">
        <v>2227</v>
      </c>
      <c r="I1081" s="1" t="s">
        <v>1033</v>
      </c>
      <c r="J1081" s="1" t="s">
        <v>1034</v>
      </c>
      <c r="K1081" s="1" t="s">
        <v>2222</v>
      </c>
      <c r="L1081" s="1" t="s">
        <v>2130</v>
      </c>
      <c r="M1081">
        <f t="shared" si="112"/>
        <v>235.97</v>
      </c>
      <c r="N1081" t="str">
        <f t="shared" si="113"/>
        <v>1946-12-17</v>
      </c>
      <c r="O1081">
        <f t="shared" si="114"/>
        <v>66</v>
      </c>
      <c r="P1081" t="str">
        <f t="shared" si="115"/>
        <v>mężczyzna</v>
      </c>
      <c r="Q1081">
        <f t="shared" si="116"/>
        <v>25</v>
      </c>
      <c r="R1081">
        <f t="shared" si="117"/>
        <v>11</v>
      </c>
      <c r="S1081">
        <f t="shared" ca="1" si="118"/>
        <v>0</v>
      </c>
    </row>
    <row r="1082" spans="1:19">
      <c r="A1082" s="1" t="s">
        <v>12</v>
      </c>
      <c r="B1082" s="2">
        <v>200</v>
      </c>
      <c r="C1082" s="1">
        <v>200</v>
      </c>
      <c r="D1082" s="1" t="s">
        <v>134</v>
      </c>
      <c r="E1082" s="1">
        <v>13</v>
      </c>
      <c r="F1082" s="3">
        <v>616</v>
      </c>
      <c r="G1082" s="1">
        <v>7</v>
      </c>
      <c r="H1082" s="1" t="s">
        <v>2228</v>
      </c>
      <c r="I1082" s="1" t="s">
        <v>136</v>
      </c>
      <c r="J1082" s="1" t="s">
        <v>16</v>
      </c>
      <c r="K1082" s="1" t="s">
        <v>2222</v>
      </c>
      <c r="L1082" s="1" t="s">
        <v>2057</v>
      </c>
      <c r="M1082">
        <f t="shared" si="112"/>
        <v>200</v>
      </c>
      <c r="N1082" t="str">
        <f t="shared" si="113"/>
        <v>1936-04-22</v>
      </c>
      <c r="O1082">
        <f t="shared" si="114"/>
        <v>76</v>
      </c>
      <c r="P1082" t="str">
        <f t="shared" si="115"/>
        <v>kobieta</v>
      </c>
      <c r="Q1082">
        <f t="shared" si="116"/>
        <v>249</v>
      </c>
      <c r="R1082">
        <f t="shared" si="117"/>
        <v>48</v>
      </c>
      <c r="S1082">
        <f t="shared" ca="1" si="118"/>
        <v>1</v>
      </c>
    </row>
    <row r="1083" spans="1:19">
      <c r="A1083" s="1" t="s">
        <v>19</v>
      </c>
      <c r="B1083" s="2">
        <v>500</v>
      </c>
      <c r="C1083" s="1">
        <v>300</v>
      </c>
      <c r="D1083" s="1" t="s">
        <v>2229</v>
      </c>
      <c r="E1083" s="1">
        <v>11</v>
      </c>
      <c r="F1083" s="3">
        <v>1800</v>
      </c>
      <c r="G1083" s="1">
        <v>0</v>
      </c>
      <c r="H1083" s="1" t="s">
        <v>2230</v>
      </c>
      <c r="I1083" s="1" t="s">
        <v>2231</v>
      </c>
      <c r="J1083" s="1" t="s">
        <v>16</v>
      </c>
      <c r="K1083" s="1" t="s">
        <v>2222</v>
      </c>
      <c r="L1083" s="1" t="s">
        <v>2070</v>
      </c>
      <c r="M1083">
        <f t="shared" si="112"/>
        <v>300</v>
      </c>
      <c r="N1083" t="str">
        <f t="shared" si="113"/>
        <v>1955-09-28</v>
      </c>
      <c r="O1083">
        <f t="shared" si="114"/>
        <v>57</v>
      </c>
      <c r="P1083" t="str">
        <f t="shared" si="115"/>
        <v>kobieta</v>
      </c>
      <c r="Q1083">
        <f t="shared" si="116"/>
        <v>115</v>
      </c>
      <c r="R1083">
        <f t="shared" si="117"/>
        <v>48</v>
      </c>
      <c r="S1083">
        <f t="shared" ca="1" si="118"/>
        <v>0</v>
      </c>
    </row>
    <row r="1084" spans="1:19">
      <c r="A1084" s="1" t="s">
        <v>19</v>
      </c>
      <c r="B1084" s="2">
        <v>400</v>
      </c>
      <c r="C1084" s="1">
        <v>400</v>
      </c>
      <c r="D1084" s="1" t="s">
        <v>176</v>
      </c>
      <c r="E1084" s="1">
        <v>11</v>
      </c>
      <c r="F1084" s="3">
        <v>1842.86</v>
      </c>
      <c r="G1084" s="1">
        <v>6</v>
      </c>
      <c r="H1084" s="1" t="s">
        <v>2232</v>
      </c>
      <c r="I1084" s="1" t="s">
        <v>178</v>
      </c>
      <c r="J1084" s="1" t="s">
        <v>16</v>
      </c>
      <c r="K1084" s="1" t="s">
        <v>2222</v>
      </c>
      <c r="L1084" s="1" t="s">
        <v>2057</v>
      </c>
      <c r="M1084">
        <f t="shared" si="112"/>
        <v>400</v>
      </c>
      <c r="N1084" t="str">
        <f t="shared" si="113"/>
        <v>1955-04-12</v>
      </c>
      <c r="O1084">
        <f t="shared" si="114"/>
        <v>57</v>
      </c>
      <c r="P1084" t="str">
        <f t="shared" si="115"/>
        <v>mężczyzna</v>
      </c>
      <c r="Q1084">
        <f t="shared" si="116"/>
        <v>11</v>
      </c>
      <c r="R1084">
        <f t="shared" si="117"/>
        <v>48</v>
      </c>
      <c r="S1084">
        <f t="shared" ca="1" si="118"/>
        <v>1</v>
      </c>
    </row>
    <row r="1085" spans="1:19">
      <c r="A1085" s="1" t="s">
        <v>12</v>
      </c>
      <c r="B1085" s="2">
        <v>693.7</v>
      </c>
      <c r="C1085" s="1">
        <v>693.7</v>
      </c>
      <c r="D1085" s="1" t="s">
        <v>71</v>
      </c>
      <c r="E1085" s="1">
        <v>11</v>
      </c>
      <c r="F1085" s="3">
        <v>1900</v>
      </c>
      <c r="G1085" s="1">
        <v>3</v>
      </c>
      <c r="H1085" s="1" t="s">
        <v>2233</v>
      </c>
      <c r="I1085" s="1" t="s">
        <v>73</v>
      </c>
      <c r="J1085" s="1" t="s">
        <v>16</v>
      </c>
      <c r="K1085" s="1" t="s">
        <v>2222</v>
      </c>
      <c r="L1085" s="1" t="s">
        <v>2234</v>
      </c>
      <c r="M1085">
        <f t="shared" si="112"/>
        <v>693.7</v>
      </c>
      <c r="N1085" t="str">
        <f t="shared" si="113"/>
        <v>1973-03-29</v>
      </c>
      <c r="O1085">
        <f t="shared" si="114"/>
        <v>39</v>
      </c>
      <c r="P1085" t="str">
        <f t="shared" si="115"/>
        <v>kobieta</v>
      </c>
      <c r="Q1085">
        <f t="shared" si="116"/>
        <v>211</v>
      </c>
      <c r="R1085">
        <f t="shared" si="117"/>
        <v>48</v>
      </c>
      <c r="S1085">
        <f t="shared" ca="1" si="118"/>
        <v>13</v>
      </c>
    </row>
    <row r="1086" spans="1:19">
      <c r="A1086" s="1" t="s">
        <v>12</v>
      </c>
      <c r="B1086" s="2">
        <v>1000</v>
      </c>
      <c r="C1086" s="1">
        <v>700</v>
      </c>
      <c r="D1086" s="1" t="s">
        <v>2235</v>
      </c>
      <c r="E1086" s="1">
        <v>98</v>
      </c>
      <c r="F1086" s="3">
        <v>2500</v>
      </c>
      <c r="G1086" s="1">
        <v>0</v>
      </c>
      <c r="H1086" s="1" t="s">
        <v>2236</v>
      </c>
      <c r="I1086" s="1" t="s">
        <v>2068</v>
      </c>
      <c r="J1086" s="1" t="s">
        <v>16</v>
      </c>
      <c r="K1086" s="1" t="s">
        <v>2222</v>
      </c>
      <c r="L1086" s="1" t="s">
        <v>2070</v>
      </c>
      <c r="M1086">
        <f t="shared" si="112"/>
        <v>700</v>
      </c>
      <c r="N1086" t="str">
        <f t="shared" si="113"/>
        <v>1955-11-07</v>
      </c>
      <c r="O1086">
        <f t="shared" si="114"/>
        <v>57</v>
      </c>
      <c r="P1086" t="str">
        <f t="shared" si="115"/>
        <v>mężczyzna</v>
      </c>
      <c r="Q1086">
        <f t="shared" si="116"/>
        <v>228</v>
      </c>
      <c r="R1086">
        <f t="shared" si="117"/>
        <v>48</v>
      </c>
      <c r="S1086">
        <f t="shared" ca="1" si="118"/>
        <v>0</v>
      </c>
    </row>
    <row r="1087" spans="1:19">
      <c r="A1087" s="1" t="s">
        <v>19</v>
      </c>
      <c r="B1087" s="2">
        <v>400</v>
      </c>
      <c r="C1087" s="1">
        <v>400</v>
      </c>
      <c r="D1087" s="1" t="s">
        <v>101</v>
      </c>
      <c r="E1087" s="1">
        <v>11</v>
      </c>
      <c r="F1087" s="3">
        <v>4000</v>
      </c>
      <c r="G1087" s="1">
        <v>8</v>
      </c>
      <c r="H1087" s="1" t="s">
        <v>2237</v>
      </c>
      <c r="I1087" s="1" t="s">
        <v>103</v>
      </c>
      <c r="J1087" s="1" t="s">
        <v>16</v>
      </c>
      <c r="K1087" s="1" t="s">
        <v>2222</v>
      </c>
      <c r="L1087" s="1" t="s">
        <v>2057</v>
      </c>
      <c r="M1087">
        <f t="shared" si="112"/>
        <v>400</v>
      </c>
      <c r="N1087" t="str">
        <f t="shared" si="113"/>
        <v>1958-01-12</v>
      </c>
      <c r="O1087">
        <f t="shared" si="114"/>
        <v>54</v>
      </c>
      <c r="P1087" t="str">
        <f t="shared" si="115"/>
        <v>mężczyzna</v>
      </c>
      <c r="Q1087">
        <f t="shared" si="116"/>
        <v>13</v>
      </c>
      <c r="R1087">
        <f t="shared" si="117"/>
        <v>48</v>
      </c>
      <c r="S1087">
        <f t="shared" ca="1" si="118"/>
        <v>1</v>
      </c>
    </row>
    <row r="1088" spans="1:19">
      <c r="A1088" s="1" t="s">
        <v>19</v>
      </c>
      <c r="B1088" s="2">
        <v>300</v>
      </c>
      <c r="C1088" s="1">
        <v>300</v>
      </c>
      <c r="D1088" s="1" t="s">
        <v>1079</v>
      </c>
      <c r="E1088" s="1">
        <v>11</v>
      </c>
      <c r="F1088" s="3">
        <v>2000</v>
      </c>
      <c r="G1088" s="1">
        <v>2</v>
      </c>
      <c r="H1088" s="1" t="s">
        <v>2238</v>
      </c>
      <c r="I1088" s="1" t="s">
        <v>1081</v>
      </c>
      <c r="J1088" s="1" t="s">
        <v>16</v>
      </c>
      <c r="K1088" s="1" t="s">
        <v>2222</v>
      </c>
      <c r="L1088" s="1" t="s">
        <v>2070</v>
      </c>
      <c r="M1088">
        <f t="shared" si="112"/>
        <v>300</v>
      </c>
      <c r="N1088" t="str">
        <f t="shared" si="113"/>
        <v>1952-04-06</v>
      </c>
      <c r="O1088">
        <f t="shared" si="114"/>
        <v>60</v>
      </c>
      <c r="P1088" t="str">
        <f t="shared" si="115"/>
        <v>mężczyzna</v>
      </c>
      <c r="Q1088">
        <f t="shared" si="116"/>
        <v>73</v>
      </c>
      <c r="R1088">
        <f t="shared" si="117"/>
        <v>48</v>
      </c>
      <c r="S1088">
        <f t="shared" ca="1" si="118"/>
        <v>0</v>
      </c>
    </row>
    <row r="1089" spans="1:19">
      <c r="A1089" s="1" t="s">
        <v>12</v>
      </c>
      <c r="B1089" s="2">
        <v>200</v>
      </c>
      <c r="C1089" s="1">
        <v>200</v>
      </c>
      <c r="D1089" s="1" t="s">
        <v>799</v>
      </c>
      <c r="E1089" s="1">
        <v>12</v>
      </c>
      <c r="F1089" s="3">
        <v>599.03</v>
      </c>
      <c r="G1089" s="1">
        <v>0</v>
      </c>
      <c r="H1089" s="1" t="s">
        <v>2239</v>
      </c>
      <c r="I1089" s="1" t="s">
        <v>121</v>
      </c>
      <c r="J1089" s="1" t="s">
        <v>90</v>
      </c>
      <c r="K1089" s="1" t="s">
        <v>591</v>
      </c>
      <c r="L1089" s="1" t="s">
        <v>2145</v>
      </c>
      <c r="M1089">
        <f t="shared" si="112"/>
        <v>200</v>
      </c>
      <c r="N1089" t="str">
        <f t="shared" si="113"/>
        <v>1974-12-03</v>
      </c>
      <c r="O1089">
        <f t="shared" si="114"/>
        <v>38</v>
      </c>
      <c r="P1089" t="str">
        <f t="shared" si="115"/>
        <v>kobieta</v>
      </c>
      <c r="Q1089">
        <f t="shared" si="116"/>
        <v>22</v>
      </c>
      <c r="R1089">
        <f t="shared" si="117"/>
        <v>0</v>
      </c>
      <c r="S1089">
        <f t="shared" ca="1" si="118"/>
        <v>11</v>
      </c>
    </row>
    <row r="1090" spans="1:19">
      <c r="A1090" s="1" t="s">
        <v>19</v>
      </c>
      <c r="B1090" s="2">
        <v>399.22</v>
      </c>
      <c r="C1090" s="1">
        <v>399.22</v>
      </c>
      <c r="D1090" s="1" t="s">
        <v>671</v>
      </c>
      <c r="E1090" s="1">
        <v>11</v>
      </c>
      <c r="F1090" s="3">
        <v>1239.05</v>
      </c>
      <c r="G1090" s="1">
        <v>0</v>
      </c>
      <c r="H1090" s="1" t="s">
        <v>2240</v>
      </c>
      <c r="I1090" s="1" t="s">
        <v>673</v>
      </c>
      <c r="J1090" s="1" t="s">
        <v>16</v>
      </c>
      <c r="K1090" s="1" t="s">
        <v>591</v>
      </c>
      <c r="L1090" s="1" t="s">
        <v>2119</v>
      </c>
      <c r="M1090">
        <f t="shared" si="112"/>
        <v>399.22</v>
      </c>
      <c r="N1090" t="str">
        <f t="shared" si="113"/>
        <v>1972-07-09</v>
      </c>
      <c r="O1090">
        <f t="shared" si="114"/>
        <v>40</v>
      </c>
      <c r="P1090" t="str">
        <f t="shared" si="115"/>
        <v>kobieta</v>
      </c>
      <c r="Q1090">
        <f t="shared" si="116"/>
        <v>207</v>
      </c>
      <c r="R1090">
        <f t="shared" si="117"/>
        <v>48</v>
      </c>
      <c r="S1090">
        <f t="shared" ca="1" si="118"/>
        <v>7</v>
      </c>
    </row>
    <row r="1091" spans="1:19">
      <c r="A1091" s="1" t="s">
        <v>19</v>
      </c>
      <c r="B1091" s="2">
        <v>600</v>
      </c>
      <c r="C1091" s="1">
        <v>600</v>
      </c>
      <c r="D1091" s="1" t="s">
        <v>1247</v>
      </c>
      <c r="E1091" s="1">
        <v>12</v>
      </c>
      <c r="F1091" s="3">
        <v>3500</v>
      </c>
      <c r="G1091" s="1">
        <v>2</v>
      </c>
      <c r="H1091" s="1" t="s">
        <v>2241</v>
      </c>
      <c r="I1091" s="1" t="s">
        <v>1249</v>
      </c>
      <c r="J1091" s="1" t="s">
        <v>1250</v>
      </c>
      <c r="K1091" s="1" t="s">
        <v>591</v>
      </c>
      <c r="L1091" s="1" t="s">
        <v>2130</v>
      </c>
      <c r="M1091">
        <f t="shared" ref="M1091:M1154" si="119">IF(A1091="odmowa", B1091,C1091)</f>
        <v>600</v>
      </c>
      <c r="N1091" t="str">
        <f t="shared" ref="N1091:N1154" si="120">CONCATENATE("19", MID(D1091, 1, 2), "-", MID(D1091, 3, 2), "-", MID(D1091, 5, 2))</f>
        <v>1966-03-25</v>
      </c>
      <c r="O1091">
        <f t="shared" ref="O1091:O1154" si="121">YEAR(H1091) - YEAR(N1091)</f>
        <v>46</v>
      </c>
      <c r="P1091" t="str">
        <f t="shared" ref="P1091:P1154" si="122">IF(MOD(MID(D1091, 10, 1), 2)=0, "kobieta", "mężczyzna")</f>
        <v>mężczyzna</v>
      </c>
      <c r="Q1091">
        <f t="shared" ref="Q1091:Q1154" si="123">(YEAR(H1091) - YEAR(I1091)) * 12 + MONTH(H1091) - MONTH(I1091)</f>
        <v>190</v>
      </c>
      <c r="R1091">
        <f t="shared" ref="R1091:R1154" si="124">IF(LEFT(J1091, 4)="0000", 48, MIN(48, (YEAR(J1091) - YEAR(H1091)) * 12 + MONTH(J1091) - MONTH(H1091)))</f>
        <v>26</v>
      </c>
      <c r="S1091">
        <f t="shared" ref="S1091:S1154" ca="1" si="125">IF(LEFT(K1091, 4)="0000", 0, IF(LEFT(L1091, 4)="0000", MAX(0, TODAY() - K1091), MAX(0, L1091 - K1091)))</f>
        <v>0</v>
      </c>
    </row>
    <row r="1092" spans="1:19">
      <c r="A1092" s="1" t="s">
        <v>19</v>
      </c>
      <c r="B1092" s="2">
        <v>600</v>
      </c>
      <c r="C1092" s="1">
        <v>600</v>
      </c>
      <c r="D1092" s="1" t="s">
        <v>409</v>
      </c>
      <c r="E1092" s="1">
        <v>13</v>
      </c>
      <c r="F1092" s="3">
        <v>1050</v>
      </c>
      <c r="G1092" s="1">
        <v>8</v>
      </c>
      <c r="H1092" s="1" t="s">
        <v>2242</v>
      </c>
      <c r="I1092" s="1" t="s">
        <v>411</v>
      </c>
      <c r="J1092" s="1" t="s">
        <v>16</v>
      </c>
      <c r="K1092" s="1" t="s">
        <v>591</v>
      </c>
      <c r="L1092" s="1" t="s">
        <v>2207</v>
      </c>
      <c r="M1092">
        <f t="shared" si="119"/>
        <v>600</v>
      </c>
      <c r="N1092" t="str">
        <f t="shared" si="120"/>
        <v>1950-08-20</v>
      </c>
      <c r="O1092">
        <f t="shared" si="121"/>
        <v>62</v>
      </c>
      <c r="P1092" t="str">
        <f t="shared" si="122"/>
        <v>kobieta</v>
      </c>
      <c r="Q1092">
        <f t="shared" si="123"/>
        <v>142</v>
      </c>
      <c r="R1092">
        <f t="shared" si="124"/>
        <v>48</v>
      </c>
      <c r="S1092">
        <f t="shared" ca="1" si="125"/>
        <v>3</v>
      </c>
    </row>
    <row r="1093" spans="1:19">
      <c r="A1093" s="1" t="s">
        <v>12</v>
      </c>
      <c r="B1093" s="2">
        <v>400</v>
      </c>
      <c r="C1093" s="1">
        <v>400</v>
      </c>
      <c r="D1093" s="1" t="s">
        <v>400</v>
      </c>
      <c r="E1093" s="1">
        <v>11</v>
      </c>
      <c r="F1093" s="3">
        <v>1800</v>
      </c>
      <c r="G1093" s="1">
        <v>4</v>
      </c>
      <c r="H1093" s="1" t="s">
        <v>2243</v>
      </c>
      <c r="I1093" s="1" t="s">
        <v>402</v>
      </c>
      <c r="J1093" s="1" t="s">
        <v>16</v>
      </c>
      <c r="K1093" s="1" t="s">
        <v>591</v>
      </c>
      <c r="L1093" s="1" t="s">
        <v>2234</v>
      </c>
      <c r="M1093">
        <f t="shared" si="119"/>
        <v>400</v>
      </c>
      <c r="N1093" t="str">
        <f t="shared" si="120"/>
        <v>1960-11-18</v>
      </c>
      <c r="O1093">
        <f t="shared" si="121"/>
        <v>52</v>
      </c>
      <c r="P1093" t="str">
        <f t="shared" si="122"/>
        <v>mężczyzna</v>
      </c>
      <c r="Q1093">
        <f t="shared" si="123"/>
        <v>262</v>
      </c>
      <c r="R1093">
        <f t="shared" si="124"/>
        <v>48</v>
      </c>
      <c r="S1093">
        <f t="shared" ca="1" si="125"/>
        <v>12</v>
      </c>
    </row>
    <row r="1094" spans="1:19">
      <c r="A1094" s="1" t="s">
        <v>12</v>
      </c>
      <c r="B1094" s="2">
        <v>200</v>
      </c>
      <c r="C1094" s="1">
        <v>200</v>
      </c>
      <c r="D1094" s="1" t="s">
        <v>724</v>
      </c>
      <c r="E1094" s="1">
        <v>12</v>
      </c>
      <c r="F1094" s="3">
        <v>1100</v>
      </c>
      <c r="G1094" s="1">
        <v>0</v>
      </c>
      <c r="H1094" s="1" t="s">
        <v>2244</v>
      </c>
      <c r="I1094" s="1" t="s">
        <v>726</v>
      </c>
      <c r="J1094" s="1" t="s">
        <v>129</v>
      </c>
      <c r="K1094" s="1" t="s">
        <v>591</v>
      </c>
      <c r="L1094" s="1" t="s">
        <v>2226</v>
      </c>
      <c r="M1094">
        <f t="shared" si="119"/>
        <v>200</v>
      </c>
      <c r="N1094" t="str">
        <f t="shared" si="120"/>
        <v>1985-12-22</v>
      </c>
      <c r="O1094">
        <f t="shared" si="121"/>
        <v>27</v>
      </c>
      <c r="P1094" t="str">
        <f t="shared" si="122"/>
        <v>mężczyzna</v>
      </c>
      <c r="Q1094">
        <f t="shared" si="123"/>
        <v>36</v>
      </c>
      <c r="R1094">
        <f t="shared" si="124"/>
        <v>23</v>
      </c>
      <c r="S1094">
        <f t="shared" ca="1" si="125"/>
        <v>10</v>
      </c>
    </row>
    <row r="1095" spans="1:19">
      <c r="A1095" s="1" t="s">
        <v>12</v>
      </c>
      <c r="B1095" s="2">
        <v>300</v>
      </c>
      <c r="C1095" s="1">
        <v>300</v>
      </c>
      <c r="D1095" s="1" t="s">
        <v>1767</v>
      </c>
      <c r="E1095" s="1">
        <v>11</v>
      </c>
      <c r="F1095" s="3">
        <v>2300</v>
      </c>
      <c r="G1095" s="1">
        <v>0</v>
      </c>
      <c r="H1095" s="1" t="s">
        <v>2245</v>
      </c>
      <c r="I1095" s="1" t="s">
        <v>1085</v>
      </c>
      <c r="J1095" s="1" t="s">
        <v>16</v>
      </c>
      <c r="K1095" s="1" t="s">
        <v>591</v>
      </c>
      <c r="L1095" s="1" t="s">
        <v>1992</v>
      </c>
      <c r="M1095">
        <f t="shared" si="119"/>
        <v>300</v>
      </c>
      <c r="N1095" t="str">
        <f t="shared" si="120"/>
        <v>1985-07-15</v>
      </c>
      <c r="O1095">
        <f t="shared" si="121"/>
        <v>27</v>
      </c>
      <c r="P1095" t="str">
        <f t="shared" si="122"/>
        <v>kobieta</v>
      </c>
      <c r="Q1095">
        <f t="shared" si="123"/>
        <v>25</v>
      </c>
      <c r="R1095">
        <f t="shared" si="124"/>
        <v>48</v>
      </c>
      <c r="S1095">
        <f t="shared" ca="1" si="125"/>
        <v>0</v>
      </c>
    </row>
    <row r="1096" spans="1:19">
      <c r="A1096" s="1" t="s">
        <v>12</v>
      </c>
      <c r="B1096" s="2">
        <v>500</v>
      </c>
      <c r="C1096" s="1">
        <v>400</v>
      </c>
      <c r="D1096" s="1" t="s">
        <v>2246</v>
      </c>
      <c r="E1096" s="1">
        <v>11</v>
      </c>
      <c r="F1096" s="3">
        <v>1500</v>
      </c>
      <c r="G1096" s="1">
        <v>0</v>
      </c>
      <c r="H1096" s="1" t="s">
        <v>2247</v>
      </c>
      <c r="I1096" s="1" t="s">
        <v>1514</v>
      </c>
      <c r="J1096" s="1" t="s">
        <v>16</v>
      </c>
      <c r="K1096" s="1" t="s">
        <v>591</v>
      </c>
      <c r="L1096" s="1" t="s">
        <v>2072</v>
      </c>
      <c r="M1096">
        <f t="shared" si="119"/>
        <v>400</v>
      </c>
      <c r="N1096" t="str">
        <f t="shared" si="120"/>
        <v>1957-02-09</v>
      </c>
      <c r="O1096">
        <f t="shared" si="121"/>
        <v>55</v>
      </c>
      <c r="P1096" t="str">
        <f t="shared" si="122"/>
        <v>kobieta</v>
      </c>
      <c r="Q1096">
        <f t="shared" si="123"/>
        <v>113</v>
      </c>
      <c r="R1096">
        <f t="shared" si="124"/>
        <v>48</v>
      </c>
      <c r="S1096">
        <f t="shared" ca="1" si="125"/>
        <v>0</v>
      </c>
    </row>
    <row r="1097" spans="1:19">
      <c r="A1097" s="1" t="s">
        <v>19</v>
      </c>
      <c r="B1097" s="2">
        <v>200</v>
      </c>
      <c r="C1097" s="1">
        <v>200</v>
      </c>
      <c r="D1097" s="1" t="s">
        <v>407</v>
      </c>
      <c r="E1097" s="1">
        <v>13</v>
      </c>
      <c r="F1097" s="3">
        <v>785</v>
      </c>
      <c r="G1097" s="1">
        <v>4</v>
      </c>
      <c r="H1097" s="1" t="s">
        <v>2248</v>
      </c>
      <c r="I1097" s="1" t="s">
        <v>266</v>
      </c>
      <c r="J1097" s="1" t="s">
        <v>16</v>
      </c>
      <c r="K1097" s="1" t="s">
        <v>2249</v>
      </c>
      <c r="L1097" s="1" t="s">
        <v>2207</v>
      </c>
      <c r="M1097">
        <f t="shared" si="119"/>
        <v>200</v>
      </c>
      <c r="N1097" t="str">
        <f t="shared" si="120"/>
        <v>1939-11-08</v>
      </c>
      <c r="O1097">
        <f t="shared" si="121"/>
        <v>73</v>
      </c>
      <c r="P1097" t="str">
        <f t="shared" si="122"/>
        <v>kobieta</v>
      </c>
      <c r="Q1097">
        <f t="shared" si="123"/>
        <v>67</v>
      </c>
      <c r="R1097">
        <f t="shared" si="124"/>
        <v>48</v>
      </c>
      <c r="S1097">
        <f t="shared" ca="1" si="125"/>
        <v>2</v>
      </c>
    </row>
    <row r="1098" spans="1:19">
      <c r="A1098" s="1" t="s">
        <v>19</v>
      </c>
      <c r="B1098" s="2">
        <v>396.55</v>
      </c>
      <c r="C1098" s="1">
        <v>396.55</v>
      </c>
      <c r="D1098" s="1" t="s">
        <v>461</v>
      </c>
      <c r="E1098" s="1">
        <v>11</v>
      </c>
      <c r="F1098" s="3">
        <v>2368.5700000000002</v>
      </c>
      <c r="G1098" s="1">
        <v>0</v>
      </c>
      <c r="H1098" s="1" t="s">
        <v>2250</v>
      </c>
      <c r="I1098" s="1" t="s">
        <v>463</v>
      </c>
      <c r="J1098" s="1" t="s">
        <v>16</v>
      </c>
      <c r="K1098" s="1" t="s">
        <v>2249</v>
      </c>
      <c r="L1098" s="1" t="s">
        <v>2110</v>
      </c>
      <c r="M1098">
        <f t="shared" si="119"/>
        <v>396.55</v>
      </c>
      <c r="N1098" t="str">
        <f t="shared" si="120"/>
        <v>1957-10-12</v>
      </c>
      <c r="O1098">
        <f t="shared" si="121"/>
        <v>55</v>
      </c>
      <c r="P1098" t="str">
        <f t="shared" si="122"/>
        <v>kobieta</v>
      </c>
      <c r="Q1098">
        <f t="shared" si="123"/>
        <v>413</v>
      </c>
      <c r="R1098">
        <f t="shared" si="124"/>
        <v>48</v>
      </c>
      <c r="S1098">
        <f t="shared" ca="1" si="125"/>
        <v>0</v>
      </c>
    </row>
    <row r="1099" spans="1:19">
      <c r="A1099" s="1" t="s">
        <v>19</v>
      </c>
      <c r="B1099" s="2">
        <v>200</v>
      </c>
      <c r="C1099" s="1">
        <v>200</v>
      </c>
      <c r="D1099" s="1" t="s">
        <v>752</v>
      </c>
      <c r="E1099" s="1">
        <v>12</v>
      </c>
      <c r="F1099" s="3">
        <v>1400</v>
      </c>
      <c r="G1099" s="1">
        <v>2</v>
      </c>
      <c r="H1099" s="1" t="s">
        <v>2251</v>
      </c>
      <c r="I1099" s="1" t="s">
        <v>754</v>
      </c>
      <c r="J1099" s="1" t="s">
        <v>2252</v>
      </c>
      <c r="K1099" s="1" t="s">
        <v>2249</v>
      </c>
      <c r="L1099" s="1" t="s">
        <v>2057</v>
      </c>
      <c r="M1099">
        <f t="shared" si="119"/>
        <v>200</v>
      </c>
      <c r="N1099" t="str">
        <f t="shared" si="120"/>
        <v>1984-07-22</v>
      </c>
      <c r="O1099">
        <f t="shared" si="121"/>
        <v>28</v>
      </c>
      <c r="P1099" t="str">
        <f t="shared" si="122"/>
        <v>mężczyzna</v>
      </c>
      <c r="Q1099">
        <f t="shared" si="123"/>
        <v>4</v>
      </c>
      <c r="R1099">
        <f t="shared" si="124"/>
        <v>2</v>
      </c>
      <c r="S1099">
        <f t="shared" ca="1" si="125"/>
        <v>0</v>
      </c>
    </row>
    <row r="1100" spans="1:19">
      <c r="A1100" s="1" t="s">
        <v>19</v>
      </c>
      <c r="B1100" s="2">
        <v>300</v>
      </c>
      <c r="C1100" s="1">
        <v>300</v>
      </c>
      <c r="D1100" s="1" t="s">
        <v>481</v>
      </c>
      <c r="E1100" s="1">
        <v>13</v>
      </c>
      <c r="F1100" s="3">
        <v>810</v>
      </c>
      <c r="G1100" s="1">
        <v>8</v>
      </c>
      <c r="H1100" s="1" t="s">
        <v>2253</v>
      </c>
      <c r="I1100" s="1" t="s">
        <v>483</v>
      </c>
      <c r="J1100" s="1" t="s">
        <v>16</v>
      </c>
      <c r="K1100" s="1" t="s">
        <v>2249</v>
      </c>
      <c r="L1100" s="1" t="s">
        <v>2130</v>
      </c>
      <c r="M1100">
        <f t="shared" si="119"/>
        <v>300</v>
      </c>
      <c r="N1100" t="str">
        <f t="shared" si="120"/>
        <v>1951-03-09</v>
      </c>
      <c r="O1100">
        <f t="shared" si="121"/>
        <v>61</v>
      </c>
      <c r="P1100" t="str">
        <f t="shared" si="122"/>
        <v>kobieta</v>
      </c>
      <c r="Q1100">
        <f t="shared" si="123"/>
        <v>36</v>
      </c>
      <c r="R1100">
        <f t="shared" si="124"/>
        <v>48</v>
      </c>
      <c r="S1100">
        <f t="shared" ca="1" si="125"/>
        <v>0</v>
      </c>
    </row>
    <row r="1101" spans="1:19">
      <c r="A1101" s="1" t="s">
        <v>19</v>
      </c>
      <c r="B1101" s="2">
        <v>300</v>
      </c>
      <c r="C1101" s="1">
        <v>300</v>
      </c>
      <c r="D1101" s="1" t="s">
        <v>1835</v>
      </c>
      <c r="E1101" s="1">
        <v>12</v>
      </c>
      <c r="F1101" s="3">
        <v>1382</v>
      </c>
      <c r="G1101" s="1">
        <v>1</v>
      </c>
      <c r="H1101" s="1" t="s">
        <v>2254</v>
      </c>
      <c r="I1101" s="1" t="s">
        <v>1837</v>
      </c>
      <c r="J1101" s="1" t="s">
        <v>2108</v>
      </c>
      <c r="K1101" s="1" t="s">
        <v>2249</v>
      </c>
      <c r="L1101" s="1" t="s">
        <v>2057</v>
      </c>
      <c r="M1101">
        <f t="shared" si="119"/>
        <v>300</v>
      </c>
      <c r="N1101" t="str">
        <f t="shared" si="120"/>
        <v>1974-11-18</v>
      </c>
      <c r="O1101">
        <f t="shared" si="121"/>
        <v>38</v>
      </c>
      <c r="P1101" t="str">
        <f t="shared" si="122"/>
        <v>kobieta</v>
      </c>
      <c r="Q1101">
        <f t="shared" si="123"/>
        <v>24</v>
      </c>
      <c r="R1101">
        <f t="shared" si="124"/>
        <v>11</v>
      </c>
      <c r="S1101">
        <f t="shared" ca="1" si="125"/>
        <v>0</v>
      </c>
    </row>
    <row r="1102" spans="1:19">
      <c r="A1102" s="1" t="s">
        <v>19</v>
      </c>
      <c r="B1102" s="2">
        <v>500</v>
      </c>
      <c r="C1102" s="1">
        <v>500</v>
      </c>
      <c r="D1102" s="1" t="s">
        <v>658</v>
      </c>
      <c r="E1102" s="1">
        <v>11</v>
      </c>
      <c r="F1102" s="3">
        <v>2011</v>
      </c>
      <c r="G1102" s="1">
        <v>1</v>
      </c>
      <c r="H1102" s="1" t="s">
        <v>2255</v>
      </c>
      <c r="I1102" s="1" t="s">
        <v>660</v>
      </c>
      <c r="J1102" s="1" t="s">
        <v>16</v>
      </c>
      <c r="K1102" s="1" t="s">
        <v>2249</v>
      </c>
      <c r="L1102" s="1" t="s">
        <v>2161</v>
      </c>
      <c r="M1102">
        <f t="shared" si="119"/>
        <v>500</v>
      </c>
      <c r="N1102" t="str">
        <f t="shared" si="120"/>
        <v>1959-07-09</v>
      </c>
      <c r="O1102">
        <f t="shared" si="121"/>
        <v>53</v>
      </c>
      <c r="P1102" t="str">
        <f t="shared" si="122"/>
        <v>mężczyzna</v>
      </c>
      <c r="Q1102">
        <f t="shared" si="123"/>
        <v>214</v>
      </c>
      <c r="R1102">
        <f t="shared" si="124"/>
        <v>48</v>
      </c>
      <c r="S1102">
        <f t="shared" ca="1" si="125"/>
        <v>4</v>
      </c>
    </row>
    <row r="1103" spans="1:19">
      <c r="A1103" s="1" t="s">
        <v>19</v>
      </c>
      <c r="B1103" s="2">
        <v>700</v>
      </c>
      <c r="C1103" s="1">
        <v>700</v>
      </c>
      <c r="D1103" s="1" t="s">
        <v>126</v>
      </c>
      <c r="E1103" s="1">
        <v>12</v>
      </c>
      <c r="F1103" s="3">
        <v>830.46</v>
      </c>
      <c r="G1103" s="1">
        <v>6</v>
      </c>
      <c r="H1103" s="1" t="s">
        <v>2256</v>
      </c>
      <c r="I1103" s="1" t="s">
        <v>128</v>
      </c>
      <c r="J1103" s="1" t="s">
        <v>129</v>
      </c>
      <c r="K1103" s="1" t="s">
        <v>2249</v>
      </c>
      <c r="L1103" s="1" t="s">
        <v>2161</v>
      </c>
      <c r="M1103">
        <f t="shared" si="119"/>
        <v>700</v>
      </c>
      <c r="N1103" t="str">
        <f t="shared" si="120"/>
        <v>1964-04-12</v>
      </c>
      <c r="O1103">
        <f t="shared" si="121"/>
        <v>48</v>
      </c>
      <c r="P1103" t="str">
        <f t="shared" si="122"/>
        <v>kobieta</v>
      </c>
      <c r="Q1103">
        <f t="shared" si="123"/>
        <v>48</v>
      </c>
      <c r="R1103">
        <f t="shared" si="124"/>
        <v>23</v>
      </c>
      <c r="S1103">
        <f t="shared" ca="1" si="125"/>
        <v>4</v>
      </c>
    </row>
    <row r="1104" spans="1:19">
      <c r="A1104" s="1" t="s">
        <v>12</v>
      </c>
      <c r="B1104" s="2">
        <v>300</v>
      </c>
      <c r="C1104" s="1">
        <v>300</v>
      </c>
      <c r="D1104" s="1" t="s">
        <v>947</v>
      </c>
      <c r="E1104" s="1">
        <v>13</v>
      </c>
      <c r="F1104" s="3">
        <v>1000</v>
      </c>
      <c r="G1104" s="1">
        <v>1</v>
      </c>
      <c r="H1104" s="1" t="s">
        <v>2257</v>
      </c>
      <c r="I1104" s="1" t="s">
        <v>660</v>
      </c>
      <c r="J1104" s="1" t="s">
        <v>16</v>
      </c>
      <c r="K1104" s="1" t="s">
        <v>2249</v>
      </c>
      <c r="L1104" s="1" t="s">
        <v>2258</v>
      </c>
      <c r="M1104">
        <f t="shared" si="119"/>
        <v>300</v>
      </c>
      <c r="N1104" t="str">
        <f t="shared" si="120"/>
        <v>1936-07-16</v>
      </c>
      <c r="O1104">
        <f t="shared" si="121"/>
        <v>76</v>
      </c>
      <c r="P1104" t="str">
        <f t="shared" si="122"/>
        <v>kobieta</v>
      </c>
      <c r="Q1104">
        <f t="shared" si="123"/>
        <v>214</v>
      </c>
      <c r="R1104">
        <f t="shared" si="124"/>
        <v>48</v>
      </c>
      <c r="S1104">
        <f t="shared" ca="1" si="125"/>
        <v>279</v>
      </c>
    </row>
    <row r="1105" spans="1:19">
      <c r="A1105" s="1" t="s">
        <v>19</v>
      </c>
      <c r="B1105" s="2">
        <v>500</v>
      </c>
      <c r="C1105" s="1">
        <v>500</v>
      </c>
      <c r="D1105" s="1" t="s">
        <v>334</v>
      </c>
      <c r="E1105" s="1">
        <v>16</v>
      </c>
      <c r="F1105" s="3">
        <v>1770</v>
      </c>
      <c r="G1105" s="1">
        <v>8</v>
      </c>
      <c r="H1105" s="1" t="s">
        <v>2259</v>
      </c>
      <c r="I1105" s="1" t="s">
        <v>336</v>
      </c>
      <c r="J1105" s="1" t="s">
        <v>16</v>
      </c>
      <c r="K1105" s="1" t="s">
        <v>2249</v>
      </c>
      <c r="L1105" s="1" t="s">
        <v>2207</v>
      </c>
      <c r="M1105">
        <f t="shared" si="119"/>
        <v>500</v>
      </c>
      <c r="N1105" t="str">
        <f t="shared" si="120"/>
        <v>1953-04-19</v>
      </c>
      <c r="O1105">
        <f t="shared" si="121"/>
        <v>59</v>
      </c>
      <c r="P1105" t="str">
        <f t="shared" si="122"/>
        <v>mężczyzna</v>
      </c>
      <c r="Q1105">
        <f t="shared" si="123"/>
        <v>92</v>
      </c>
      <c r="R1105">
        <f t="shared" si="124"/>
        <v>48</v>
      </c>
      <c r="S1105">
        <f t="shared" ca="1" si="125"/>
        <v>2</v>
      </c>
    </row>
    <row r="1106" spans="1:19">
      <c r="A1106" s="1" t="s">
        <v>12</v>
      </c>
      <c r="B1106" s="2">
        <v>505</v>
      </c>
      <c r="C1106" s="1">
        <v>505</v>
      </c>
      <c r="D1106" s="1" t="s">
        <v>674</v>
      </c>
      <c r="E1106" s="1">
        <v>13</v>
      </c>
      <c r="F1106" s="3">
        <v>1500</v>
      </c>
      <c r="G1106" s="1">
        <v>0</v>
      </c>
      <c r="H1106" s="1" t="s">
        <v>2260</v>
      </c>
      <c r="I1106" s="1" t="s">
        <v>676</v>
      </c>
      <c r="J1106" s="1" t="s">
        <v>16</v>
      </c>
      <c r="K1106" s="1" t="s">
        <v>2249</v>
      </c>
      <c r="L1106" s="1" t="s">
        <v>2261</v>
      </c>
      <c r="M1106">
        <f t="shared" si="119"/>
        <v>505</v>
      </c>
      <c r="N1106" t="str">
        <f t="shared" si="120"/>
        <v>1950-08-06</v>
      </c>
      <c r="O1106">
        <f t="shared" si="121"/>
        <v>62</v>
      </c>
      <c r="P1106" t="str">
        <f t="shared" si="122"/>
        <v>mężczyzna</v>
      </c>
      <c r="Q1106">
        <f t="shared" si="123"/>
        <v>26</v>
      </c>
      <c r="R1106">
        <f t="shared" si="124"/>
        <v>48</v>
      </c>
      <c r="S1106">
        <f t="shared" ca="1" si="125"/>
        <v>16</v>
      </c>
    </row>
    <row r="1107" spans="1:19">
      <c r="A1107" s="1" t="s">
        <v>19</v>
      </c>
      <c r="B1107" s="2">
        <v>500</v>
      </c>
      <c r="C1107" s="1">
        <v>500</v>
      </c>
      <c r="D1107" s="1" t="s">
        <v>2262</v>
      </c>
      <c r="E1107" s="1">
        <v>12</v>
      </c>
      <c r="F1107" s="3">
        <v>2200</v>
      </c>
      <c r="G1107" s="1">
        <v>0</v>
      </c>
      <c r="H1107" s="1" t="s">
        <v>2263</v>
      </c>
      <c r="I1107" s="1" t="s">
        <v>2264</v>
      </c>
      <c r="J1107" s="1" t="s">
        <v>2265</v>
      </c>
      <c r="K1107" s="1" t="s">
        <v>2249</v>
      </c>
      <c r="L1107" s="1" t="s">
        <v>1810</v>
      </c>
      <c r="M1107">
        <f t="shared" si="119"/>
        <v>500</v>
      </c>
      <c r="N1107" t="str">
        <f t="shared" si="120"/>
        <v>1957-06-16</v>
      </c>
      <c r="O1107">
        <f t="shared" si="121"/>
        <v>55</v>
      </c>
      <c r="P1107" t="str">
        <f t="shared" si="122"/>
        <v>kobieta</v>
      </c>
      <c r="Q1107">
        <f t="shared" si="123"/>
        <v>6</v>
      </c>
      <c r="R1107">
        <f t="shared" si="124"/>
        <v>5</v>
      </c>
      <c r="S1107">
        <f t="shared" ca="1" si="125"/>
        <v>0</v>
      </c>
    </row>
    <row r="1108" spans="1:19">
      <c r="A1108" s="1" t="s">
        <v>19</v>
      </c>
      <c r="B1108" s="2">
        <v>700</v>
      </c>
      <c r="C1108" s="1">
        <v>550</v>
      </c>
      <c r="D1108" s="1" t="s">
        <v>1066</v>
      </c>
      <c r="E1108" s="1">
        <v>13</v>
      </c>
      <c r="F1108" s="3">
        <v>1474.55</v>
      </c>
      <c r="G1108" s="1">
        <v>0</v>
      </c>
      <c r="H1108" s="1" t="s">
        <v>2266</v>
      </c>
      <c r="I1108" s="1" t="s">
        <v>669</v>
      </c>
      <c r="J1108" s="1" t="s">
        <v>16</v>
      </c>
      <c r="K1108" s="1" t="s">
        <v>2249</v>
      </c>
      <c r="L1108" s="1" t="s">
        <v>2207</v>
      </c>
      <c r="M1108">
        <f t="shared" si="119"/>
        <v>550</v>
      </c>
      <c r="N1108" t="str">
        <f t="shared" si="120"/>
        <v>1949-01-21</v>
      </c>
      <c r="O1108">
        <f t="shared" si="121"/>
        <v>63</v>
      </c>
      <c r="P1108" t="str">
        <f t="shared" si="122"/>
        <v>kobieta</v>
      </c>
      <c r="Q1108">
        <f t="shared" si="123"/>
        <v>68</v>
      </c>
      <c r="R1108">
        <f t="shared" si="124"/>
        <v>48</v>
      </c>
      <c r="S1108">
        <f t="shared" ca="1" si="125"/>
        <v>2</v>
      </c>
    </row>
    <row r="1109" spans="1:19">
      <c r="A1109" s="1" t="s">
        <v>19</v>
      </c>
      <c r="B1109" s="2">
        <v>1000</v>
      </c>
      <c r="C1109" s="1">
        <v>300</v>
      </c>
      <c r="D1109" s="1" t="s">
        <v>2267</v>
      </c>
      <c r="E1109" s="1">
        <v>11</v>
      </c>
      <c r="F1109" s="3">
        <v>1600</v>
      </c>
      <c r="G1109" s="1">
        <v>0</v>
      </c>
      <c r="H1109" s="1" t="s">
        <v>2268</v>
      </c>
      <c r="I1109" s="1" t="s">
        <v>27</v>
      </c>
      <c r="J1109" s="1" t="s">
        <v>16</v>
      </c>
      <c r="K1109" s="1" t="s">
        <v>2249</v>
      </c>
      <c r="L1109" s="1" t="s">
        <v>2091</v>
      </c>
      <c r="M1109">
        <f t="shared" si="119"/>
        <v>300</v>
      </c>
      <c r="N1109" t="str">
        <f t="shared" si="120"/>
        <v>1986-10-23</v>
      </c>
      <c r="O1109">
        <f t="shared" si="121"/>
        <v>26</v>
      </c>
      <c r="P1109" t="str">
        <f t="shared" si="122"/>
        <v>mężczyzna</v>
      </c>
      <c r="Q1109">
        <f t="shared" si="123"/>
        <v>6</v>
      </c>
      <c r="R1109">
        <f t="shared" si="124"/>
        <v>48</v>
      </c>
      <c r="S1109">
        <f t="shared" ca="1" si="125"/>
        <v>3</v>
      </c>
    </row>
    <row r="1110" spans="1:19">
      <c r="A1110" s="1" t="s">
        <v>24</v>
      </c>
      <c r="B1110" s="2">
        <v>200</v>
      </c>
      <c r="C1110" s="1">
        <v>0</v>
      </c>
      <c r="D1110" s="1" t="s">
        <v>1388</v>
      </c>
      <c r="E1110" s="1">
        <v>12</v>
      </c>
      <c r="F1110" s="3">
        <v>1573</v>
      </c>
      <c r="G1110" s="1">
        <v>0</v>
      </c>
      <c r="H1110" s="1" t="s">
        <v>2269</v>
      </c>
      <c r="I1110" s="1" t="s">
        <v>1390</v>
      </c>
      <c r="J1110" s="1" t="s">
        <v>1391</v>
      </c>
      <c r="K1110" s="1" t="s">
        <v>16</v>
      </c>
      <c r="L1110" s="1" t="s">
        <v>28</v>
      </c>
      <c r="M1110">
        <f t="shared" si="119"/>
        <v>200</v>
      </c>
      <c r="N1110" t="str">
        <f t="shared" si="120"/>
        <v>1969-03-13</v>
      </c>
      <c r="O1110">
        <f t="shared" si="121"/>
        <v>43</v>
      </c>
      <c r="P1110" t="str">
        <f t="shared" si="122"/>
        <v>mężczyzna</v>
      </c>
      <c r="Q1110">
        <f t="shared" si="123"/>
        <v>8</v>
      </c>
      <c r="R1110">
        <f t="shared" si="124"/>
        <v>20</v>
      </c>
      <c r="S1110">
        <f t="shared" ca="1" si="125"/>
        <v>0</v>
      </c>
    </row>
    <row r="1111" spans="1:19">
      <c r="A1111" s="1" t="s">
        <v>19</v>
      </c>
      <c r="B1111" s="2">
        <v>800</v>
      </c>
      <c r="C1111" s="1">
        <v>800</v>
      </c>
      <c r="D1111" s="1" t="s">
        <v>243</v>
      </c>
      <c r="E1111" s="1">
        <v>12</v>
      </c>
      <c r="F1111" s="3">
        <v>2500</v>
      </c>
      <c r="G1111" s="1">
        <v>6</v>
      </c>
      <c r="H1111" s="1" t="s">
        <v>2270</v>
      </c>
      <c r="I1111" s="1" t="s">
        <v>245</v>
      </c>
      <c r="J1111" s="1" t="s">
        <v>246</v>
      </c>
      <c r="K1111" s="1" t="s">
        <v>2249</v>
      </c>
      <c r="L1111" s="1" t="s">
        <v>2091</v>
      </c>
      <c r="M1111">
        <f t="shared" si="119"/>
        <v>800</v>
      </c>
      <c r="N1111" t="str">
        <f t="shared" si="120"/>
        <v>1954-03-09</v>
      </c>
      <c r="O1111">
        <f t="shared" si="121"/>
        <v>58</v>
      </c>
      <c r="P1111" t="str">
        <f t="shared" si="122"/>
        <v>mężczyzna</v>
      </c>
      <c r="Q1111">
        <f t="shared" si="123"/>
        <v>8</v>
      </c>
      <c r="R1111">
        <f t="shared" si="124"/>
        <v>2</v>
      </c>
      <c r="S1111">
        <f t="shared" ca="1" si="125"/>
        <v>3</v>
      </c>
    </row>
    <row r="1112" spans="1:19">
      <c r="A1112" s="1" t="s">
        <v>19</v>
      </c>
      <c r="B1112" s="2">
        <v>292.27999999999997</v>
      </c>
      <c r="C1112" s="1">
        <v>292.27999999999997</v>
      </c>
      <c r="D1112" s="1" t="s">
        <v>67</v>
      </c>
      <c r="E1112" s="1">
        <v>13</v>
      </c>
      <c r="F1112" s="3">
        <v>1428.55</v>
      </c>
      <c r="G1112" s="1">
        <v>1</v>
      </c>
      <c r="H1112" s="1" t="s">
        <v>2271</v>
      </c>
      <c r="I1112" s="1" t="s">
        <v>69</v>
      </c>
      <c r="J1112" s="1" t="s">
        <v>16</v>
      </c>
      <c r="K1112" s="1" t="s">
        <v>2249</v>
      </c>
      <c r="L1112" s="1" t="s">
        <v>2161</v>
      </c>
      <c r="M1112">
        <f t="shared" si="119"/>
        <v>292.27999999999997</v>
      </c>
      <c r="N1112" t="str">
        <f t="shared" si="120"/>
        <v>1945-05-17</v>
      </c>
      <c r="O1112">
        <f t="shared" si="121"/>
        <v>67</v>
      </c>
      <c r="P1112" t="str">
        <f t="shared" si="122"/>
        <v>kobieta</v>
      </c>
      <c r="Q1112">
        <f t="shared" si="123"/>
        <v>140</v>
      </c>
      <c r="R1112">
        <f t="shared" si="124"/>
        <v>48</v>
      </c>
      <c r="S1112">
        <f t="shared" ca="1" si="125"/>
        <v>4</v>
      </c>
    </row>
    <row r="1113" spans="1:19">
      <c r="A1113" s="1" t="s">
        <v>309</v>
      </c>
      <c r="B1113" s="2">
        <v>200</v>
      </c>
      <c r="C1113" s="1">
        <v>200</v>
      </c>
      <c r="D1113" s="1" t="s">
        <v>320</v>
      </c>
      <c r="E1113" s="1">
        <v>13</v>
      </c>
      <c r="F1113" s="3">
        <v>722.05</v>
      </c>
      <c r="G1113" s="1">
        <v>7</v>
      </c>
      <c r="H1113" s="1" t="s">
        <v>2272</v>
      </c>
      <c r="I1113" s="1" t="s">
        <v>322</v>
      </c>
      <c r="J1113" s="1" t="s">
        <v>16</v>
      </c>
      <c r="K1113" s="1" t="s">
        <v>2249</v>
      </c>
      <c r="L1113" s="1" t="s">
        <v>2273</v>
      </c>
      <c r="M1113">
        <f t="shared" si="119"/>
        <v>200</v>
      </c>
      <c r="N1113" t="str">
        <f t="shared" si="120"/>
        <v>1940-07-28</v>
      </c>
      <c r="O1113">
        <f t="shared" si="121"/>
        <v>72</v>
      </c>
      <c r="P1113" t="str">
        <f t="shared" si="122"/>
        <v>kobieta</v>
      </c>
      <c r="Q1113">
        <f t="shared" si="123"/>
        <v>200</v>
      </c>
      <c r="R1113">
        <f t="shared" si="124"/>
        <v>48</v>
      </c>
      <c r="S1113">
        <f t="shared" ca="1" si="125"/>
        <v>230</v>
      </c>
    </row>
    <row r="1114" spans="1:19">
      <c r="A1114" s="1" t="s">
        <v>19</v>
      </c>
      <c r="B1114" s="2">
        <v>1000</v>
      </c>
      <c r="C1114" s="1">
        <v>700</v>
      </c>
      <c r="D1114" s="1" t="s">
        <v>2274</v>
      </c>
      <c r="E1114" s="1">
        <v>11</v>
      </c>
      <c r="F1114" s="3">
        <v>2800</v>
      </c>
      <c r="G1114" s="1">
        <v>0</v>
      </c>
      <c r="H1114" s="1" t="s">
        <v>2275</v>
      </c>
      <c r="I1114" s="1" t="s">
        <v>2276</v>
      </c>
      <c r="J1114" s="1" t="s">
        <v>16</v>
      </c>
      <c r="K1114" s="1" t="s">
        <v>2277</v>
      </c>
      <c r="L1114" s="1" t="s">
        <v>2207</v>
      </c>
      <c r="M1114">
        <f t="shared" si="119"/>
        <v>700</v>
      </c>
      <c r="N1114" t="str">
        <f t="shared" si="120"/>
        <v>1952-08-08</v>
      </c>
      <c r="O1114">
        <f t="shared" si="121"/>
        <v>60</v>
      </c>
      <c r="P1114" t="str">
        <f t="shared" si="122"/>
        <v>mężczyzna</v>
      </c>
      <c r="Q1114">
        <f t="shared" si="123"/>
        <v>99</v>
      </c>
      <c r="R1114">
        <f t="shared" si="124"/>
        <v>48</v>
      </c>
      <c r="S1114">
        <f t="shared" ca="1" si="125"/>
        <v>0</v>
      </c>
    </row>
    <row r="1115" spans="1:19">
      <c r="A1115" s="1" t="s">
        <v>24</v>
      </c>
      <c r="B1115" s="2">
        <v>300</v>
      </c>
      <c r="C1115" s="1">
        <v>0</v>
      </c>
      <c r="D1115" s="1" t="s">
        <v>2278</v>
      </c>
      <c r="E1115" s="1">
        <v>12</v>
      </c>
      <c r="F1115" s="3">
        <v>1036</v>
      </c>
      <c r="G1115" s="1">
        <v>0</v>
      </c>
      <c r="H1115" s="1" t="s">
        <v>2279</v>
      </c>
      <c r="I1115" s="1" t="s">
        <v>46</v>
      </c>
      <c r="J1115" s="1" t="s">
        <v>468</v>
      </c>
      <c r="K1115" s="1" t="s">
        <v>16</v>
      </c>
      <c r="L1115" s="1" t="s">
        <v>28</v>
      </c>
      <c r="M1115">
        <f t="shared" si="119"/>
        <v>300</v>
      </c>
      <c r="N1115" t="str">
        <f t="shared" si="120"/>
        <v>1959-03-04</v>
      </c>
      <c r="O1115">
        <f t="shared" si="121"/>
        <v>53</v>
      </c>
      <c r="P1115" t="str">
        <f t="shared" si="122"/>
        <v>mężczyzna</v>
      </c>
      <c r="Q1115">
        <f t="shared" si="123"/>
        <v>5</v>
      </c>
      <c r="R1115">
        <f t="shared" si="124"/>
        <v>6</v>
      </c>
      <c r="S1115">
        <f t="shared" ca="1" si="125"/>
        <v>0</v>
      </c>
    </row>
    <row r="1116" spans="1:19">
      <c r="A1116" s="1" t="s">
        <v>24</v>
      </c>
      <c r="B1116" s="2">
        <v>200</v>
      </c>
      <c r="C1116" s="1">
        <v>0</v>
      </c>
      <c r="D1116" s="1" t="s">
        <v>2280</v>
      </c>
      <c r="E1116" s="1">
        <v>13</v>
      </c>
      <c r="F1116" s="3">
        <v>650</v>
      </c>
      <c r="G1116" s="1">
        <v>0</v>
      </c>
      <c r="H1116" s="1" t="s">
        <v>2281</v>
      </c>
      <c r="I1116" s="1" t="s">
        <v>2282</v>
      </c>
      <c r="J1116" s="1" t="s">
        <v>16</v>
      </c>
      <c r="K1116" s="1" t="s">
        <v>16</v>
      </c>
      <c r="L1116" s="1" t="s">
        <v>28</v>
      </c>
      <c r="M1116">
        <f t="shared" si="119"/>
        <v>200</v>
      </c>
      <c r="N1116" t="str">
        <f t="shared" si="120"/>
        <v>1941-11-24</v>
      </c>
      <c r="O1116">
        <f t="shared" si="121"/>
        <v>71</v>
      </c>
      <c r="P1116" t="str">
        <f t="shared" si="122"/>
        <v>mężczyzna</v>
      </c>
      <c r="Q1116">
        <f t="shared" si="123"/>
        <v>156</v>
      </c>
      <c r="R1116">
        <f t="shared" si="124"/>
        <v>48</v>
      </c>
      <c r="S1116">
        <f t="shared" ca="1" si="125"/>
        <v>0</v>
      </c>
    </row>
    <row r="1117" spans="1:19">
      <c r="A1117" s="1" t="s">
        <v>24</v>
      </c>
      <c r="B1117" s="2">
        <v>800</v>
      </c>
      <c r="C1117" s="1">
        <v>0</v>
      </c>
      <c r="D1117" s="1" t="s">
        <v>2283</v>
      </c>
      <c r="E1117" s="1">
        <v>16</v>
      </c>
      <c r="F1117" s="3">
        <v>1280</v>
      </c>
      <c r="G1117" s="1">
        <v>0</v>
      </c>
      <c r="H1117" s="1" t="s">
        <v>2284</v>
      </c>
      <c r="I1117" s="1" t="s">
        <v>2285</v>
      </c>
      <c r="J1117" s="1" t="s">
        <v>16</v>
      </c>
      <c r="K1117" s="1" t="s">
        <v>16</v>
      </c>
      <c r="L1117" s="1" t="s">
        <v>28</v>
      </c>
      <c r="M1117">
        <f t="shared" si="119"/>
        <v>800</v>
      </c>
      <c r="N1117" t="str">
        <f t="shared" si="120"/>
        <v>1959-08-03</v>
      </c>
      <c r="O1117">
        <f t="shared" si="121"/>
        <v>53</v>
      </c>
      <c r="P1117" t="str">
        <f t="shared" si="122"/>
        <v>mężczyzna</v>
      </c>
      <c r="Q1117">
        <f t="shared" si="123"/>
        <v>379</v>
      </c>
      <c r="R1117">
        <f t="shared" si="124"/>
        <v>48</v>
      </c>
      <c r="S1117">
        <f t="shared" ca="1" si="125"/>
        <v>0</v>
      </c>
    </row>
    <row r="1118" spans="1:19">
      <c r="A1118" s="1" t="s">
        <v>19</v>
      </c>
      <c r="B1118" s="2">
        <v>1000</v>
      </c>
      <c r="C1118" s="1">
        <v>1000</v>
      </c>
      <c r="D1118" s="1" t="s">
        <v>1299</v>
      </c>
      <c r="E1118" s="1">
        <v>13</v>
      </c>
      <c r="F1118" s="3">
        <v>3600</v>
      </c>
      <c r="G1118" s="1">
        <v>2</v>
      </c>
      <c r="H1118" s="1" t="s">
        <v>2286</v>
      </c>
      <c r="I1118" s="1" t="s">
        <v>1301</v>
      </c>
      <c r="J1118" s="1" t="s">
        <v>16</v>
      </c>
      <c r="K1118" s="1" t="s">
        <v>2277</v>
      </c>
      <c r="L1118" s="1" t="s">
        <v>2287</v>
      </c>
      <c r="M1118">
        <f t="shared" si="119"/>
        <v>1000</v>
      </c>
      <c r="N1118" t="str">
        <f t="shared" si="120"/>
        <v>1954-07-09</v>
      </c>
      <c r="O1118">
        <f t="shared" si="121"/>
        <v>58</v>
      </c>
      <c r="P1118" t="str">
        <f t="shared" si="122"/>
        <v>mężczyzna</v>
      </c>
      <c r="Q1118">
        <f t="shared" si="123"/>
        <v>89</v>
      </c>
      <c r="R1118">
        <f t="shared" si="124"/>
        <v>48</v>
      </c>
      <c r="S1118">
        <f t="shared" ca="1" si="125"/>
        <v>0</v>
      </c>
    </row>
    <row r="1119" spans="1:19">
      <c r="A1119" s="1" t="s">
        <v>56</v>
      </c>
      <c r="B1119" s="2">
        <v>400</v>
      </c>
      <c r="C1119" s="1">
        <v>400</v>
      </c>
      <c r="D1119" s="1" t="s">
        <v>1745</v>
      </c>
      <c r="E1119" s="1">
        <v>11</v>
      </c>
      <c r="F1119" s="3">
        <v>1300</v>
      </c>
      <c r="G1119" s="1">
        <v>1</v>
      </c>
      <c r="H1119" s="1" t="s">
        <v>2288</v>
      </c>
      <c r="I1119" s="1" t="s">
        <v>1747</v>
      </c>
      <c r="J1119" s="1" t="s">
        <v>16</v>
      </c>
      <c r="K1119" s="1" t="s">
        <v>2277</v>
      </c>
      <c r="L1119" s="1" t="s">
        <v>28</v>
      </c>
      <c r="M1119">
        <f t="shared" si="119"/>
        <v>400</v>
      </c>
      <c r="N1119" t="str">
        <f t="shared" si="120"/>
        <v>1957-01-27</v>
      </c>
      <c r="O1119">
        <f t="shared" si="121"/>
        <v>55</v>
      </c>
      <c r="P1119" t="str">
        <f t="shared" si="122"/>
        <v>mężczyzna</v>
      </c>
      <c r="Q1119">
        <f t="shared" si="123"/>
        <v>37</v>
      </c>
      <c r="R1119">
        <f t="shared" si="124"/>
        <v>48</v>
      </c>
      <c r="S1119">
        <f t="shared" ca="1" si="125"/>
        <v>5174</v>
      </c>
    </row>
    <row r="1120" spans="1:19">
      <c r="A1120" s="1" t="s">
        <v>19</v>
      </c>
      <c r="B1120" s="2">
        <v>290</v>
      </c>
      <c r="C1120" s="1">
        <v>290</v>
      </c>
      <c r="D1120" s="1" t="s">
        <v>433</v>
      </c>
      <c r="E1120" s="1">
        <v>13</v>
      </c>
      <c r="F1120" s="3">
        <v>1280</v>
      </c>
      <c r="G1120" s="1">
        <v>8</v>
      </c>
      <c r="H1120" s="1" t="s">
        <v>2289</v>
      </c>
      <c r="I1120" s="1" t="s">
        <v>435</v>
      </c>
      <c r="J1120" s="1" t="s">
        <v>16</v>
      </c>
      <c r="K1120" s="1" t="s">
        <v>2277</v>
      </c>
      <c r="L1120" s="1" t="s">
        <v>2207</v>
      </c>
      <c r="M1120">
        <f t="shared" si="119"/>
        <v>290</v>
      </c>
      <c r="N1120" t="str">
        <f t="shared" si="120"/>
        <v>1950-08-05</v>
      </c>
      <c r="O1120">
        <f t="shared" si="121"/>
        <v>62</v>
      </c>
      <c r="P1120" t="str">
        <f t="shared" si="122"/>
        <v>kobieta</v>
      </c>
      <c r="Q1120">
        <f t="shared" si="123"/>
        <v>20</v>
      </c>
      <c r="R1120">
        <f t="shared" si="124"/>
        <v>48</v>
      </c>
      <c r="S1120">
        <f t="shared" ca="1" si="125"/>
        <v>0</v>
      </c>
    </row>
    <row r="1121" spans="1:19">
      <c r="A1121" s="1" t="s">
        <v>19</v>
      </c>
      <c r="B1121" s="2">
        <v>351.55</v>
      </c>
      <c r="C1121" s="1">
        <v>351.55</v>
      </c>
      <c r="D1121" s="1" t="s">
        <v>1160</v>
      </c>
      <c r="E1121" s="1">
        <v>11</v>
      </c>
      <c r="F1121" s="3">
        <v>2927</v>
      </c>
      <c r="G1121" s="1">
        <v>6</v>
      </c>
      <c r="H1121" s="1" t="s">
        <v>2290</v>
      </c>
      <c r="I1121" s="1" t="s">
        <v>157</v>
      </c>
      <c r="J1121" s="1" t="s">
        <v>16</v>
      </c>
      <c r="K1121" s="1" t="s">
        <v>2277</v>
      </c>
      <c r="L1121" s="1" t="s">
        <v>2091</v>
      </c>
      <c r="M1121">
        <f t="shared" si="119"/>
        <v>351.55</v>
      </c>
      <c r="N1121" t="str">
        <f t="shared" si="120"/>
        <v>1973-07-09</v>
      </c>
      <c r="O1121">
        <f t="shared" si="121"/>
        <v>39</v>
      </c>
      <c r="P1121" t="str">
        <f t="shared" si="122"/>
        <v>kobieta</v>
      </c>
      <c r="Q1121">
        <f t="shared" si="123"/>
        <v>204</v>
      </c>
      <c r="R1121">
        <f t="shared" si="124"/>
        <v>48</v>
      </c>
      <c r="S1121">
        <f t="shared" ca="1" si="125"/>
        <v>1</v>
      </c>
    </row>
    <row r="1122" spans="1:19">
      <c r="A1122" s="1" t="s">
        <v>24</v>
      </c>
      <c r="B1122" s="2">
        <v>1000</v>
      </c>
      <c r="C1122" s="1">
        <v>0</v>
      </c>
      <c r="D1122" s="1" t="s">
        <v>2291</v>
      </c>
      <c r="E1122" s="1">
        <v>11</v>
      </c>
      <c r="F1122" s="3">
        <v>3400</v>
      </c>
      <c r="G1122" s="1">
        <v>0</v>
      </c>
      <c r="H1122" s="1" t="s">
        <v>2292</v>
      </c>
      <c r="I1122" s="1" t="s">
        <v>2293</v>
      </c>
      <c r="J1122" s="1" t="s">
        <v>16</v>
      </c>
      <c r="K1122" s="1" t="s">
        <v>16</v>
      </c>
      <c r="L1122" s="1" t="s">
        <v>28</v>
      </c>
      <c r="M1122">
        <f t="shared" si="119"/>
        <v>1000</v>
      </c>
      <c r="N1122" t="str">
        <f t="shared" si="120"/>
        <v>1977-07-19</v>
      </c>
      <c r="O1122">
        <f t="shared" si="121"/>
        <v>35</v>
      </c>
      <c r="P1122" t="str">
        <f t="shared" si="122"/>
        <v>mężczyzna</v>
      </c>
      <c r="Q1122">
        <f t="shared" si="123"/>
        <v>180</v>
      </c>
      <c r="R1122">
        <f t="shared" si="124"/>
        <v>48</v>
      </c>
      <c r="S1122">
        <f t="shared" ca="1" si="125"/>
        <v>0</v>
      </c>
    </row>
    <row r="1123" spans="1:19">
      <c r="A1123" s="1" t="s">
        <v>19</v>
      </c>
      <c r="B1123" s="2">
        <v>313.14999999999998</v>
      </c>
      <c r="C1123" s="1">
        <v>313.14999999999998</v>
      </c>
      <c r="D1123" s="1" t="s">
        <v>397</v>
      </c>
      <c r="E1123" s="1">
        <v>11</v>
      </c>
      <c r="F1123" s="3">
        <v>2709.34</v>
      </c>
      <c r="G1123" s="1">
        <v>8</v>
      </c>
      <c r="H1123" s="1" t="s">
        <v>2294</v>
      </c>
      <c r="I1123" s="1" t="s">
        <v>399</v>
      </c>
      <c r="J1123" s="1" t="s">
        <v>16</v>
      </c>
      <c r="K1123" s="1" t="s">
        <v>2277</v>
      </c>
      <c r="L1123" s="1" t="s">
        <v>2207</v>
      </c>
      <c r="M1123">
        <f t="shared" si="119"/>
        <v>313.14999999999998</v>
      </c>
      <c r="N1123" t="str">
        <f t="shared" si="120"/>
        <v>1976-06-18</v>
      </c>
      <c r="O1123">
        <f t="shared" si="121"/>
        <v>36</v>
      </c>
      <c r="P1123" t="str">
        <f t="shared" si="122"/>
        <v>kobieta</v>
      </c>
      <c r="Q1123">
        <f t="shared" si="123"/>
        <v>184</v>
      </c>
      <c r="R1123">
        <f t="shared" si="124"/>
        <v>48</v>
      </c>
      <c r="S1123">
        <f t="shared" ca="1" si="125"/>
        <v>0</v>
      </c>
    </row>
    <row r="1124" spans="1:19">
      <c r="A1124" s="1" t="s">
        <v>12</v>
      </c>
      <c r="B1124" s="2">
        <v>200</v>
      </c>
      <c r="C1124" s="1">
        <v>200</v>
      </c>
      <c r="D1124" s="1" t="s">
        <v>621</v>
      </c>
      <c r="E1124" s="1">
        <v>13</v>
      </c>
      <c r="F1124" s="3">
        <v>992.96</v>
      </c>
      <c r="G1124" s="1">
        <v>4</v>
      </c>
      <c r="H1124" s="1" t="s">
        <v>2295</v>
      </c>
      <c r="I1124" s="1" t="s">
        <v>623</v>
      </c>
      <c r="J1124" s="1" t="s">
        <v>16</v>
      </c>
      <c r="K1124" s="1" t="s">
        <v>2277</v>
      </c>
      <c r="L1124" s="1" t="s">
        <v>2130</v>
      </c>
      <c r="M1124">
        <f t="shared" si="119"/>
        <v>200</v>
      </c>
      <c r="N1124" t="str">
        <f t="shared" si="120"/>
        <v>1950-02-28</v>
      </c>
      <c r="O1124">
        <f t="shared" si="121"/>
        <v>62</v>
      </c>
      <c r="P1124" t="str">
        <f t="shared" si="122"/>
        <v>kobieta</v>
      </c>
      <c r="Q1124">
        <f t="shared" si="123"/>
        <v>15</v>
      </c>
      <c r="R1124">
        <f t="shared" si="124"/>
        <v>48</v>
      </c>
      <c r="S1124">
        <f t="shared" ca="1" si="125"/>
        <v>0</v>
      </c>
    </row>
    <row r="1125" spans="1:19">
      <c r="A1125" s="1" t="s">
        <v>24</v>
      </c>
      <c r="B1125" s="2">
        <v>1000</v>
      </c>
      <c r="C1125" s="1">
        <v>0</v>
      </c>
      <c r="D1125" s="1" t="s">
        <v>2296</v>
      </c>
      <c r="E1125" s="1">
        <v>12</v>
      </c>
      <c r="F1125" s="3">
        <v>1800</v>
      </c>
      <c r="G1125" s="1">
        <v>0</v>
      </c>
      <c r="H1125" s="1" t="s">
        <v>2297</v>
      </c>
      <c r="I1125" s="1" t="s">
        <v>46</v>
      </c>
      <c r="J1125" s="1" t="s">
        <v>246</v>
      </c>
      <c r="K1125" s="1" t="s">
        <v>16</v>
      </c>
      <c r="L1125" s="1" t="s">
        <v>28</v>
      </c>
      <c r="M1125">
        <f t="shared" si="119"/>
        <v>1000</v>
      </c>
      <c r="N1125" t="str">
        <f t="shared" si="120"/>
        <v>1979-08-05</v>
      </c>
      <c r="O1125">
        <f t="shared" si="121"/>
        <v>33</v>
      </c>
      <c r="P1125" t="str">
        <f t="shared" si="122"/>
        <v>mężczyzna</v>
      </c>
      <c r="Q1125">
        <f t="shared" si="123"/>
        <v>5</v>
      </c>
      <c r="R1125">
        <f t="shared" si="124"/>
        <v>2</v>
      </c>
      <c r="S1125">
        <f t="shared" ca="1" si="125"/>
        <v>0</v>
      </c>
    </row>
    <row r="1126" spans="1:19">
      <c r="A1126" s="1" t="s">
        <v>19</v>
      </c>
      <c r="B1126" s="2">
        <v>400</v>
      </c>
      <c r="C1126" s="1">
        <v>400</v>
      </c>
      <c r="D1126" s="1" t="s">
        <v>1821</v>
      </c>
      <c r="E1126" s="1">
        <v>11</v>
      </c>
      <c r="F1126" s="3">
        <v>1764</v>
      </c>
      <c r="G1126" s="1">
        <v>1</v>
      </c>
      <c r="H1126" s="1" t="s">
        <v>2298</v>
      </c>
      <c r="I1126" s="1" t="s">
        <v>1823</v>
      </c>
      <c r="J1126" s="1" t="s">
        <v>16</v>
      </c>
      <c r="K1126" s="1" t="s">
        <v>2277</v>
      </c>
      <c r="L1126" s="1" t="s">
        <v>2207</v>
      </c>
      <c r="M1126">
        <f t="shared" si="119"/>
        <v>400</v>
      </c>
      <c r="N1126" t="str">
        <f t="shared" si="120"/>
        <v>1962-06-23</v>
      </c>
      <c r="O1126">
        <f t="shared" si="121"/>
        <v>50</v>
      </c>
      <c r="P1126" t="str">
        <f t="shared" si="122"/>
        <v>kobieta</v>
      </c>
      <c r="Q1126">
        <f t="shared" si="123"/>
        <v>67</v>
      </c>
      <c r="R1126">
        <f t="shared" si="124"/>
        <v>48</v>
      </c>
      <c r="S1126">
        <f t="shared" ca="1" si="125"/>
        <v>0</v>
      </c>
    </row>
    <row r="1127" spans="1:19">
      <c r="A1127" s="1" t="s">
        <v>19</v>
      </c>
      <c r="B1127" s="2">
        <v>345.97</v>
      </c>
      <c r="C1127" s="1">
        <v>345.97</v>
      </c>
      <c r="D1127" s="1" t="s">
        <v>369</v>
      </c>
      <c r="E1127" s="1">
        <v>11</v>
      </c>
      <c r="F1127" s="3">
        <v>1721.7</v>
      </c>
      <c r="G1127" s="1">
        <v>8</v>
      </c>
      <c r="H1127" s="1" t="s">
        <v>2299</v>
      </c>
      <c r="I1127" s="1" t="s">
        <v>371</v>
      </c>
      <c r="J1127" s="1" t="s">
        <v>16</v>
      </c>
      <c r="K1127" s="1" t="s">
        <v>2277</v>
      </c>
      <c r="L1127" s="1" t="s">
        <v>2161</v>
      </c>
      <c r="M1127">
        <f t="shared" si="119"/>
        <v>345.97</v>
      </c>
      <c r="N1127" t="str">
        <f t="shared" si="120"/>
        <v>1957-03-19</v>
      </c>
      <c r="O1127">
        <f t="shared" si="121"/>
        <v>55</v>
      </c>
      <c r="P1127" t="str">
        <f t="shared" si="122"/>
        <v>kobieta</v>
      </c>
      <c r="Q1127">
        <f t="shared" si="123"/>
        <v>123</v>
      </c>
      <c r="R1127">
        <f t="shared" si="124"/>
        <v>48</v>
      </c>
      <c r="S1127">
        <f t="shared" ca="1" si="125"/>
        <v>2</v>
      </c>
    </row>
    <row r="1128" spans="1:19">
      <c r="A1128" s="1" t="s">
        <v>19</v>
      </c>
      <c r="B1128" s="2">
        <v>390.11</v>
      </c>
      <c r="C1128" s="1">
        <v>390.11</v>
      </c>
      <c r="D1128" s="1" t="s">
        <v>1791</v>
      </c>
      <c r="E1128" s="1">
        <v>12</v>
      </c>
      <c r="F1128" s="3">
        <v>1320</v>
      </c>
      <c r="G1128" s="1">
        <v>1</v>
      </c>
      <c r="H1128" s="1" t="s">
        <v>2300</v>
      </c>
      <c r="I1128" s="1" t="s">
        <v>717</v>
      </c>
      <c r="J1128" s="1" t="s">
        <v>1793</v>
      </c>
      <c r="K1128" s="1" t="s">
        <v>2277</v>
      </c>
      <c r="L1128" s="1" t="s">
        <v>2091</v>
      </c>
      <c r="M1128">
        <f t="shared" si="119"/>
        <v>390.11</v>
      </c>
      <c r="N1128" t="str">
        <f t="shared" si="120"/>
        <v>1952-10-27</v>
      </c>
      <c r="O1128">
        <f t="shared" si="121"/>
        <v>60</v>
      </c>
      <c r="P1128" t="str">
        <f t="shared" si="122"/>
        <v>kobieta</v>
      </c>
      <c r="Q1128">
        <f t="shared" si="123"/>
        <v>12</v>
      </c>
      <c r="R1128">
        <f t="shared" si="124"/>
        <v>23</v>
      </c>
      <c r="S1128">
        <f t="shared" ca="1" si="125"/>
        <v>1</v>
      </c>
    </row>
    <row r="1129" spans="1:19">
      <c r="A1129" s="1" t="s">
        <v>19</v>
      </c>
      <c r="B1129" s="2">
        <v>300</v>
      </c>
      <c r="C1129" s="1">
        <v>300</v>
      </c>
      <c r="D1129" s="1" t="s">
        <v>2301</v>
      </c>
      <c r="E1129" s="1">
        <v>13</v>
      </c>
      <c r="F1129" s="3">
        <v>1239</v>
      </c>
      <c r="G1129" s="1">
        <v>0</v>
      </c>
      <c r="H1129" s="1" t="s">
        <v>2302</v>
      </c>
      <c r="I1129" s="1" t="s">
        <v>2303</v>
      </c>
      <c r="J1129" s="1" t="s">
        <v>16</v>
      </c>
      <c r="K1129" s="1" t="s">
        <v>2277</v>
      </c>
      <c r="L1129" s="1" t="s">
        <v>2147</v>
      </c>
      <c r="M1129">
        <f t="shared" si="119"/>
        <v>300</v>
      </c>
      <c r="N1129" t="str">
        <f t="shared" si="120"/>
        <v>1934-02-15</v>
      </c>
      <c r="O1129">
        <f t="shared" si="121"/>
        <v>78</v>
      </c>
      <c r="P1129" t="str">
        <f t="shared" si="122"/>
        <v>kobieta</v>
      </c>
      <c r="Q1129">
        <f t="shared" si="123"/>
        <v>273</v>
      </c>
      <c r="R1129">
        <f t="shared" si="124"/>
        <v>48</v>
      </c>
      <c r="S1129">
        <f t="shared" ca="1" si="125"/>
        <v>5</v>
      </c>
    </row>
    <row r="1130" spans="1:19">
      <c r="A1130" s="1" t="s">
        <v>12</v>
      </c>
      <c r="B1130" s="2">
        <v>200</v>
      </c>
      <c r="C1130" s="1">
        <v>200</v>
      </c>
      <c r="D1130" s="1" t="s">
        <v>1324</v>
      </c>
      <c r="E1130" s="1">
        <v>13</v>
      </c>
      <c r="F1130" s="3">
        <v>1800</v>
      </c>
      <c r="G1130" s="1">
        <v>2</v>
      </c>
      <c r="H1130" s="1" t="s">
        <v>2304</v>
      </c>
      <c r="I1130" s="1" t="s">
        <v>328</v>
      </c>
      <c r="J1130" s="1" t="s">
        <v>16</v>
      </c>
      <c r="K1130" s="1" t="s">
        <v>2277</v>
      </c>
      <c r="L1130" s="1" t="s">
        <v>2207</v>
      </c>
      <c r="M1130">
        <f t="shared" si="119"/>
        <v>200</v>
      </c>
      <c r="N1130" t="str">
        <f t="shared" si="120"/>
        <v>1951-01-24</v>
      </c>
      <c r="O1130">
        <f t="shared" si="121"/>
        <v>61</v>
      </c>
      <c r="P1130" t="str">
        <f t="shared" si="122"/>
        <v>kobieta</v>
      </c>
      <c r="Q1130">
        <f t="shared" si="123"/>
        <v>72</v>
      </c>
      <c r="R1130">
        <f t="shared" si="124"/>
        <v>48</v>
      </c>
      <c r="S1130">
        <f t="shared" ca="1" si="125"/>
        <v>0</v>
      </c>
    </row>
    <row r="1131" spans="1:19">
      <c r="A1131" s="1" t="s">
        <v>309</v>
      </c>
      <c r="B1131" s="2">
        <v>400</v>
      </c>
      <c r="C1131" s="1">
        <v>400</v>
      </c>
      <c r="D1131" s="1" t="s">
        <v>331</v>
      </c>
      <c r="E1131" s="1">
        <v>13</v>
      </c>
      <c r="F1131" s="3">
        <v>1870</v>
      </c>
      <c r="G1131" s="1">
        <v>3</v>
      </c>
      <c r="H1131" s="1" t="s">
        <v>2305</v>
      </c>
      <c r="I1131" s="1" t="s">
        <v>333</v>
      </c>
      <c r="J1131" s="1" t="s">
        <v>16</v>
      </c>
      <c r="K1131" s="1" t="s">
        <v>2277</v>
      </c>
      <c r="L1131" s="1" t="s">
        <v>2306</v>
      </c>
      <c r="M1131">
        <f t="shared" si="119"/>
        <v>400</v>
      </c>
      <c r="N1131" t="str">
        <f t="shared" si="120"/>
        <v>1939-05-13</v>
      </c>
      <c r="O1131">
        <f t="shared" si="121"/>
        <v>73</v>
      </c>
      <c r="P1131" t="str">
        <f t="shared" si="122"/>
        <v>mężczyzna</v>
      </c>
      <c r="Q1131">
        <f t="shared" si="123"/>
        <v>88</v>
      </c>
      <c r="R1131">
        <f t="shared" si="124"/>
        <v>48</v>
      </c>
      <c r="S1131">
        <f t="shared" ca="1" si="125"/>
        <v>226</v>
      </c>
    </row>
    <row r="1132" spans="1:19">
      <c r="A1132" s="1" t="s">
        <v>19</v>
      </c>
      <c r="B1132" s="2">
        <v>700</v>
      </c>
      <c r="C1132" s="1">
        <v>300</v>
      </c>
      <c r="D1132" s="1" t="s">
        <v>2307</v>
      </c>
      <c r="E1132" s="1">
        <v>11</v>
      </c>
      <c r="F1132" s="3">
        <v>2725</v>
      </c>
      <c r="G1132" s="1">
        <v>0</v>
      </c>
      <c r="H1132" s="1" t="s">
        <v>2308</v>
      </c>
      <c r="I1132" s="1" t="s">
        <v>2309</v>
      </c>
      <c r="J1132" s="1" t="s">
        <v>16</v>
      </c>
      <c r="K1132" s="1" t="s">
        <v>2277</v>
      </c>
      <c r="L1132" s="1" t="s">
        <v>2091</v>
      </c>
      <c r="M1132">
        <f t="shared" si="119"/>
        <v>300</v>
      </c>
      <c r="N1132" t="str">
        <f t="shared" si="120"/>
        <v>1980-09-24</v>
      </c>
      <c r="O1132">
        <f t="shared" si="121"/>
        <v>32</v>
      </c>
      <c r="P1132" t="str">
        <f t="shared" si="122"/>
        <v>mężczyzna</v>
      </c>
      <c r="Q1132">
        <f t="shared" si="123"/>
        <v>56</v>
      </c>
      <c r="R1132">
        <f t="shared" si="124"/>
        <v>48</v>
      </c>
      <c r="S1132">
        <f t="shared" ca="1" si="125"/>
        <v>1</v>
      </c>
    </row>
    <row r="1133" spans="1:19">
      <c r="A1133" s="1" t="s">
        <v>12</v>
      </c>
      <c r="B1133" s="2">
        <v>300</v>
      </c>
      <c r="C1133" s="1">
        <v>300</v>
      </c>
      <c r="D1133" s="1" t="s">
        <v>2310</v>
      </c>
      <c r="E1133" s="1">
        <v>12</v>
      </c>
      <c r="F1133" s="3">
        <v>1700</v>
      </c>
      <c r="G1133" s="1">
        <v>0</v>
      </c>
      <c r="H1133" s="1" t="s">
        <v>2311</v>
      </c>
      <c r="I1133" s="1" t="s">
        <v>1180</v>
      </c>
      <c r="J1133" s="1" t="s">
        <v>2312</v>
      </c>
      <c r="K1133" s="1" t="s">
        <v>2277</v>
      </c>
      <c r="L1133" s="1" t="s">
        <v>2110</v>
      </c>
      <c r="M1133">
        <f t="shared" si="119"/>
        <v>300</v>
      </c>
      <c r="N1133" t="str">
        <f t="shared" si="120"/>
        <v>1981-02-11</v>
      </c>
      <c r="O1133">
        <f t="shared" si="121"/>
        <v>31</v>
      </c>
      <c r="P1133" t="str">
        <f t="shared" si="122"/>
        <v>mężczyzna</v>
      </c>
      <c r="Q1133">
        <f t="shared" si="123"/>
        <v>0</v>
      </c>
      <c r="R1133">
        <f t="shared" si="124"/>
        <v>48</v>
      </c>
      <c r="S1133">
        <f t="shared" ca="1" si="125"/>
        <v>0</v>
      </c>
    </row>
    <row r="1134" spans="1:19">
      <c r="A1134" s="1" t="s">
        <v>56</v>
      </c>
      <c r="B1134" s="2">
        <v>500</v>
      </c>
      <c r="C1134" s="1">
        <v>500</v>
      </c>
      <c r="D1134" s="1" t="s">
        <v>267</v>
      </c>
      <c r="E1134" s="1">
        <v>13</v>
      </c>
      <c r="F1134" s="3">
        <v>1700</v>
      </c>
      <c r="G1134" s="1">
        <v>7</v>
      </c>
      <c r="H1134" s="1" t="s">
        <v>2313</v>
      </c>
      <c r="I1134" s="1" t="s">
        <v>15</v>
      </c>
      <c r="J1134" s="1" t="s">
        <v>16</v>
      </c>
      <c r="K1134" s="1" t="s">
        <v>2277</v>
      </c>
      <c r="L1134" s="1" t="s">
        <v>28</v>
      </c>
      <c r="M1134">
        <f t="shared" si="119"/>
        <v>500</v>
      </c>
      <c r="N1134" t="str">
        <f t="shared" si="120"/>
        <v>1939-10-16</v>
      </c>
      <c r="O1134">
        <f t="shared" si="121"/>
        <v>73</v>
      </c>
      <c r="P1134" t="str">
        <f t="shared" si="122"/>
        <v>mężczyzna</v>
      </c>
      <c r="Q1134">
        <f t="shared" si="123"/>
        <v>17</v>
      </c>
      <c r="R1134">
        <f t="shared" si="124"/>
        <v>48</v>
      </c>
      <c r="S1134">
        <f t="shared" ca="1" si="125"/>
        <v>5174</v>
      </c>
    </row>
    <row r="1135" spans="1:19">
      <c r="A1135" s="1" t="s">
        <v>19</v>
      </c>
      <c r="B1135" s="2">
        <v>300</v>
      </c>
      <c r="C1135" s="1">
        <v>300</v>
      </c>
      <c r="D1135" s="1" t="s">
        <v>219</v>
      </c>
      <c r="E1135" s="1">
        <v>13</v>
      </c>
      <c r="F1135" s="3">
        <v>1240</v>
      </c>
      <c r="G1135" s="1">
        <v>0</v>
      </c>
      <c r="H1135" s="1" t="s">
        <v>2314</v>
      </c>
      <c r="I1135" s="1" t="s">
        <v>221</v>
      </c>
      <c r="J1135" s="1" t="s">
        <v>16</v>
      </c>
      <c r="K1135" s="1" t="s">
        <v>2277</v>
      </c>
      <c r="L1135" s="1" t="s">
        <v>2207</v>
      </c>
      <c r="M1135">
        <f t="shared" si="119"/>
        <v>300</v>
      </c>
      <c r="N1135" t="str">
        <f t="shared" si="120"/>
        <v>1953-12-01</v>
      </c>
      <c r="O1135">
        <f t="shared" si="121"/>
        <v>59</v>
      </c>
      <c r="P1135" t="str">
        <f t="shared" si="122"/>
        <v>kobieta</v>
      </c>
      <c r="Q1135">
        <f t="shared" si="123"/>
        <v>73</v>
      </c>
      <c r="R1135">
        <f t="shared" si="124"/>
        <v>48</v>
      </c>
      <c r="S1135">
        <f t="shared" ca="1" si="125"/>
        <v>0</v>
      </c>
    </row>
    <row r="1136" spans="1:19">
      <c r="A1136" s="1" t="s">
        <v>19</v>
      </c>
      <c r="B1136" s="2">
        <v>500</v>
      </c>
      <c r="C1136" s="1">
        <v>500</v>
      </c>
      <c r="D1136" s="1" t="s">
        <v>525</v>
      </c>
      <c r="E1136" s="1">
        <v>13</v>
      </c>
      <c r="F1136" s="3">
        <v>1900</v>
      </c>
      <c r="G1136" s="1">
        <v>8</v>
      </c>
      <c r="H1136" s="1" t="s">
        <v>2315</v>
      </c>
      <c r="I1136" s="1" t="s">
        <v>527</v>
      </c>
      <c r="J1136" s="1" t="s">
        <v>16</v>
      </c>
      <c r="K1136" s="1" t="s">
        <v>2316</v>
      </c>
      <c r="L1136" s="1" t="s">
        <v>2119</v>
      </c>
      <c r="M1136">
        <f t="shared" si="119"/>
        <v>500</v>
      </c>
      <c r="N1136" t="str">
        <f t="shared" si="120"/>
        <v>1955-09-30</v>
      </c>
      <c r="O1136">
        <f t="shared" si="121"/>
        <v>57</v>
      </c>
      <c r="P1136" t="str">
        <f t="shared" si="122"/>
        <v>mężczyzna</v>
      </c>
      <c r="Q1136">
        <f t="shared" si="123"/>
        <v>153</v>
      </c>
      <c r="R1136">
        <f t="shared" si="124"/>
        <v>48</v>
      </c>
      <c r="S1136">
        <f t="shared" ca="1" si="125"/>
        <v>2</v>
      </c>
    </row>
    <row r="1137" spans="1:19">
      <c r="A1137" s="1" t="s">
        <v>24</v>
      </c>
      <c r="B1137" s="2">
        <v>1000</v>
      </c>
      <c r="C1137" s="1">
        <v>0</v>
      </c>
      <c r="D1137" s="1" t="s">
        <v>2317</v>
      </c>
      <c r="E1137" s="1">
        <v>98</v>
      </c>
      <c r="F1137" s="3">
        <v>2600</v>
      </c>
      <c r="G1137" s="1">
        <v>0</v>
      </c>
      <c r="H1137" s="1" t="s">
        <v>2318</v>
      </c>
      <c r="I1137" s="1" t="s">
        <v>435</v>
      </c>
      <c r="J1137" s="1" t="s">
        <v>16</v>
      </c>
      <c r="K1137" s="1" t="s">
        <v>16</v>
      </c>
      <c r="L1137" s="1" t="s">
        <v>28</v>
      </c>
      <c r="M1137">
        <f t="shared" si="119"/>
        <v>1000</v>
      </c>
      <c r="N1137" t="str">
        <f t="shared" si="120"/>
        <v>1980-07-16</v>
      </c>
      <c r="O1137">
        <f t="shared" si="121"/>
        <v>32</v>
      </c>
      <c r="P1137" t="str">
        <f t="shared" si="122"/>
        <v>mężczyzna</v>
      </c>
      <c r="Q1137">
        <f t="shared" si="123"/>
        <v>20</v>
      </c>
      <c r="R1137">
        <f t="shared" si="124"/>
        <v>48</v>
      </c>
      <c r="S1137">
        <f t="shared" ca="1" si="125"/>
        <v>0</v>
      </c>
    </row>
    <row r="1138" spans="1:19">
      <c r="A1138" s="1" t="s">
        <v>19</v>
      </c>
      <c r="B1138" s="2">
        <v>650</v>
      </c>
      <c r="C1138" s="1">
        <v>500</v>
      </c>
      <c r="D1138" s="1" t="s">
        <v>2319</v>
      </c>
      <c r="E1138" s="1">
        <v>13</v>
      </c>
      <c r="F1138" s="3">
        <v>1373</v>
      </c>
      <c r="G1138" s="1">
        <v>0</v>
      </c>
      <c r="H1138" s="1" t="s">
        <v>2320</v>
      </c>
      <c r="I1138" s="1" t="s">
        <v>1514</v>
      </c>
      <c r="J1138" s="1" t="s">
        <v>16</v>
      </c>
      <c r="K1138" s="1" t="s">
        <v>2316</v>
      </c>
      <c r="L1138" s="1" t="s">
        <v>2207</v>
      </c>
      <c r="M1138">
        <f t="shared" si="119"/>
        <v>500</v>
      </c>
      <c r="N1138" t="str">
        <f t="shared" si="120"/>
        <v>1937-11-12</v>
      </c>
      <c r="O1138">
        <f t="shared" si="121"/>
        <v>75</v>
      </c>
      <c r="P1138" t="str">
        <f t="shared" si="122"/>
        <v>kobieta</v>
      </c>
      <c r="Q1138">
        <f t="shared" si="123"/>
        <v>113</v>
      </c>
      <c r="R1138">
        <f t="shared" si="124"/>
        <v>48</v>
      </c>
      <c r="S1138">
        <f t="shared" ca="1" si="125"/>
        <v>0</v>
      </c>
    </row>
    <row r="1139" spans="1:19">
      <c r="A1139" s="1" t="s">
        <v>19</v>
      </c>
      <c r="B1139" s="2">
        <v>292.27999999999997</v>
      </c>
      <c r="C1139" s="1">
        <v>292.27999999999997</v>
      </c>
      <c r="D1139" s="1" t="s">
        <v>1915</v>
      </c>
      <c r="E1139" s="1">
        <v>13</v>
      </c>
      <c r="F1139" s="3">
        <v>2000</v>
      </c>
      <c r="G1139" s="1">
        <v>1</v>
      </c>
      <c r="H1139" s="1" t="s">
        <v>2321</v>
      </c>
      <c r="I1139" s="1" t="s">
        <v>1747</v>
      </c>
      <c r="J1139" s="1" t="s">
        <v>16</v>
      </c>
      <c r="K1139" s="1" t="s">
        <v>2316</v>
      </c>
      <c r="L1139" s="1" t="s">
        <v>2207</v>
      </c>
      <c r="M1139">
        <f t="shared" si="119"/>
        <v>292.27999999999997</v>
      </c>
      <c r="N1139" t="str">
        <f t="shared" si="120"/>
        <v>1949-10-29</v>
      </c>
      <c r="O1139">
        <f t="shared" si="121"/>
        <v>63</v>
      </c>
      <c r="P1139" t="str">
        <f t="shared" si="122"/>
        <v>mężczyzna</v>
      </c>
      <c r="Q1139">
        <f t="shared" si="123"/>
        <v>37</v>
      </c>
      <c r="R1139">
        <f t="shared" si="124"/>
        <v>48</v>
      </c>
      <c r="S1139">
        <f t="shared" ca="1" si="125"/>
        <v>0</v>
      </c>
    </row>
    <row r="1140" spans="1:19">
      <c r="A1140" s="1" t="s">
        <v>19</v>
      </c>
      <c r="B1140" s="2">
        <v>400</v>
      </c>
      <c r="C1140" s="1">
        <v>400</v>
      </c>
      <c r="D1140" s="1" t="s">
        <v>982</v>
      </c>
      <c r="E1140" s="1">
        <v>11</v>
      </c>
      <c r="F1140" s="3">
        <v>3300</v>
      </c>
      <c r="G1140" s="1">
        <v>1</v>
      </c>
      <c r="H1140" s="1" t="s">
        <v>2322</v>
      </c>
      <c r="I1140" s="1" t="s">
        <v>984</v>
      </c>
      <c r="J1140" s="1" t="s">
        <v>16</v>
      </c>
      <c r="K1140" s="1" t="s">
        <v>2316</v>
      </c>
      <c r="L1140" s="1" t="s">
        <v>2207</v>
      </c>
      <c r="M1140">
        <f t="shared" si="119"/>
        <v>400</v>
      </c>
      <c r="N1140" t="str">
        <f t="shared" si="120"/>
        <v>1967-01-04</v>
      </c>
      <c r="O1140">
        <f t="shared" si="121"/>
        <v>45</v>
      </c>
      <c r="P1140" t="str">
        <f t="shared" si="122"/>
        <v>mężczyzna</v>
      </c>
      <c r="Q1140">
        <f t="shared" si="123"/>
        <v>240</v>
      </c>
      <c r="R1140">
        <f t="shared" si="124"/>
        <v>48</v>
      </c>
      <c r="S1140">
        <f t="shared" ca="1" si="125"/>
        <v>0</v>
      </c>
    </row>
    <row r="1141" spans="1:19">
      <c r="A1141" s="1" t="s">
        <v>19</v>
      </c>
      <c r="B1141" s="2">
        <v>295.57</v>
      </c>
      <c r="C1141" s="1">
        <v>295.57</v>
      </c>
      <c r="D1141" s="1" t="s">
        <v>225</v>
      </c>
      <c r="E1141" s="1">
        <v>11</v>
      </c>
      <c r="F1141" s="3">
        <v>1077.49</v>
      </c>
      <c r="G1141" s="1">
        <v>2</v>
      </c>
      <c r="H1141" s="1" t="s">
        <v>2323</v>
      </c>
      <c r="I1141" s="1" t="s">
        <v>227</v>
      </c>
      <c r="J1141" s="1" t="s">
        <v>16</v>
      </c>
      <c r="K1141" s="1" t="s">
        <v>2316</v>
      </c>
      <c r="L1141" s="1" t="s">
        <v>2324</v>
      </c>
      <c r="M1141">
        <f t="shared" si="119"/>
        <v>295.57</v>
      </c>
      <c r="N1141" t="str">
        <f t="shared" si="120"/>
        <v>1963-09-03</v>
      </c>
      <c r="O1141">
        <f t="shared" si="121"/>
        <v>49</v>
      </c>
      <c r="P1141" t="str">
        <f t="shared" si="122"/>
        <v>kobieta</v>
      </c>
      <c r="Q1141">
        <f t="shared" si="123"/>
        <v>375</v>
      </c>
      <c r="R1141">
        <f t="shared" si="124"/>
        <v>48</v>
      </c>
      <c r="S1141">
        <f t="shared" ca="1" si="125"/>
        <v>1</v>
      </c>
    </row>
    <row r="1142" spans="1:19">
      <c r="A1142" s="1" t="s">
        <v>19</v>
      </c>
      <c r="B1142" s="2">
        <v>400</v>
      </c>
      <c r="C1142" s="1">
        <v>400</v>
      </c>
      <c r="D1142" s="1" t="s">
        <v>2325</v>
      </c>
      <c r="E1142" s="1">
        <v>13</v>
      </c>
      <c r="F1142" s="3">
        <v>1094</v>
      </c>
      <c r="G1142" s="1">
        <v>0</v>
      </c>
      <c r="H1142" s="1" t="s">
        <v>2326</v>
      </c>
      <c r="I1142" s="1" t="s">
        <v>2327</v>
      </c>
      <c r="J1142" s="1" t="s">
        <v>16</v>
      </c>
      <c r="K1142" s="1" t="s">
        <v>2316</v>
      </c>
      <c r="L1142" s="1" t="s">
        <v>2091</v>
      </c>
      <c r="M1142">
        <f t="shared" si="119"/>
        <v>400</v>
      </c>
      <c r="N1142" t="str">
        <f t="shared" si="120"/>
        <v>1944-05-18</v>
      </c>
      <c r="O1142">
        <f t="shared" si="121"/>
        <v>68</v>
      </c>
      <c r="P1142" t="str">
        <f t="shared" si="122"/>
        <v>kobieta</v>
      </c>
      <c r="Q1142">
        <f t="shared" si="123"/>
        <v>187</v>
      </c>
      <c r="R1142">
        <f t="shared" si="124"/>
        <v>48</v>
      </c>
      <c r="S1142">
        <f t="shared" ca="1" si="125"/>
        <v>0</v>
      </c>
    </row>
    <row r="1143" spans="1:19">
      <c r="A1143" s="1" t="s">
        <v>12</v>
      </c>
      <c r="B1143" s="2">
        <v>800</v>
      </c>
      <c r="C1143" s="1">
        <v>300</v>
      </c>
      <c r="D1143" s="1" t="s">
        <v>2328</v>
      </c>
      <c r="E1143" s="1">
        <v>11</v>
      </c>
      <c r="F1143" s="3">
        <v>1100</v>
      </c>
      <c r="G1143" s="1">
        <v>0</v>
      </c>
      <c r="H1143" s="1" t="s">
        <v>2329</v>
      </c>
      <c r="I1143" s="1" t="s">
        <v>916</v>
      </c>
      <c r="J1143" s="1" t="s">
        <v>16</v>
      </c>
      <c r="K1143" s="1" t="s">
        <v>2316</v>
      </c>
      <c r="L1143" s="1" t="s">
        <v>2330</v>
      </c>
      <c r="M1143">
        <f t="shared" si="119"/>
        <v>300</v>
      </c>
      <c r="N1143" t="str">
        <f t="shared" si="120"/>
        <v>1971-10-27</v>
      </c>
      <c r="O1143">
        <f t="shared" si="121"/>
        <v>41</v>
      </c>
      <c r="P1143" t="str">
        <f t="shared" si="122"/>
        <v>kobieta</v>
      </c>
      <c r="Q1143">
        <f t="shared" si="123"/>
        <v>60</v>
      </c>
      <c r="R1143">
        <f t="shared" si="124"/>
        <v>48</v>
      </c>
      <c r="S1143">
        <f t="shared" ca="1" si="125"/>
        <v>16</v>
      </c>
    </row>
    <row r="1144" spans="1:19">
      <c r="A1144" s="1" t="s">
        <v>19</v>
      </c>
      <c r="B1144" s="2">
        <v>487.15</v>
      </c>
      <c r="C1144" s="1">
        <v>487.15</v>
      </c>
      <c r="D1144" s="1" t="s">
        <v>1360</v>
      </c>
      <c r="E1144" s="1">
        <v>11</v>
      </c>
      <c r="F1144" s="3">
        <v>2500</v>
      </c>
      <c r="G1144" s="1">
        <v>2</v>
      </c>
      <c r="H1144" s="1" t="s">
        <v>2331</v>
      </c>
      <c r="I1144" s="1" t="s">
        <v>1362</v>
      </c>
      <c r="J1144" s="1" t="s">
        <v>16</v>
      </c>
      <c r="K1144" s="1" t="s">
        <v>2316</v>
      </c>
      <c r="L1144" s="1" t="s">
        <v>2324</v>
      </c>
      <c r="M1144">
        <f t="shared" si="119"/>
        <v>487.15</v>
      </c>
      <c r="N1144" t="str">
        <f t="shared" si="120"/>
        <v>1962-12-21</v>
      </c>
      <c r="O1144">
        <f t="shared" si="121"/>
        <v>50</v>
      </c>
      <c r="P1144" t="str">
        <f t="shared" si="122"/>
        <v>mężczyzna</v>
      </c>
      <c r="Q1144">
        <f t="shared" si="123"/>
        <v>377</v>
      </c>
      <c r="R1144">
        <f t="shared" si="124"/>
        <v>48</v>
      </c>
      <c r="S1144">
        <f t="shared" ca="1" si="125"/>
        <v>1</v>
      </c>
    </row>
    <row r="1145" spans="1:19">
      <c r="A1145" s="1" t="s">
        <v>19</v>
      </c>
      <c r="B1145" s="2">
        <v>200</v>
      </c>
      <c r="C1145" s="1">
        <v>200</v>
      </c>
      <c r="D1145" s="1" t="s">
        <v>305</v>
      </c>
      <c r="E1145" s="1">
        <v>12</v>
      </c>
      <c r="F1145" s="3">
        <v>1100</v>
      </c>
      <c r="G1145" s="1">
        <v>4</v>
      </c>
      <c r="H1145" s="1" t="s">
        <v>2332</v>
      </c>
      <c r="I1145" s="1" t="s">
        <v>307</v>
      </c>
      <c r="J1145" s="1" t="s">
        <v>2108</v>
      </c>
      <c r="K1145" s="1" t="s">
        <v>2316</v>
      </c>
      <c r="L1145" s="1" t="s">
        <v>2119</v>
      </c>
      <c r="M1145">
        <f t="shared" si="119"/>
        <v>200</v>
      </c>
      <c r="N1145" t="str">
        <f t="shared" si="120"/>
        <v>1985-05-07</v>
      </c>
      <c r="O1145">
        <f t="shared" si="121"/>
        <v>27</v>
      </c>
      <c r="P1145" t="str">
        <f t="shared" si="122"/>
        <v>kobieta</v>
      </c>
      <c r="Q1145">
        <f t="shared" si="123"/>
        <v>18</v>
      </c>
      <c r="R1145">
        <f t="shared" si="124"/>
        <v>11</v>
      </c>
      <c r="S1145">
        <f t="shared" ca="1" si="125"/>
        <v>2</v>
      </c>
    </row>
    <row r="1146" spans="1:19">
      <c r="A1146" s="1" t="s">
        <v>12</v>
      </c>
      <c r="B1146" s="2">
        <v>600</v>
      </c>
      <c r="C1146" s="1">
        <v>600</v>
      </c>
      <c r="D1146" s="1" t="s">
        <v>2333</v>
      </c>
      <c r="E1146" s="1">
        <v>13</v>
      </c>
      <c r="F1146" s="3">
        <v>1667</v>
      </c>
      <c r="G1146" s="1">
        <v>0</v>
      </c>
      <c r="H1146" s="1" t="s">
        <v>2334</v>
      </c>
      <c r="I1146" s="1" t="s">
        <v>2335</v>
      </c>
      <c r="J1146" s="1" t="s">
        <v>16</v>
      </c>
      <c r="K1146" s="1" t="s">
        <v>2316</v>
      </c>
      <c r="L1146" s="1" t="s">
        <v>2091</v>
      </c>
      <c r="M1146">
        <f t="shared" si="119"/>
        <v>600</v>
      </c>
      <c r="N1146" t="str">
        <f t="shared" si="120"/>
        <v>1940-09-20</v>
      </c>
      <c r="O1146">
        <f t="shared" si="121"/>
        <v>72</v>
      </c>
      <c r="P1146" t="str">
        <f t="shared" si="122"/>
        <v>kobieta</v>
      </c>
      <c r="Q1146">
        <f t="shared" si="123"/>
        <v>159</v>
      </c>
      <c r="R1146">
        <f t="shared" si="124"/>
        <v>48</v>
      </c>
      <c r="S1146">
        <f t="shared" ca="1" si="125"/>
        <v>0</v>
      </c>
    </row>
    <row r="1147" spans="1:19">
      <c r="A1147" s="1" t="s">
        <v>19</v>
      </c>
      <c r="B1147" s="2">
        <v>500</v>
      </c>
      <c r="C1147" s="1">
        <v>500</v>
      </c>
      <c r="D1147" s="1" t="s">
        <v>1326</v>
      </c>
      <c r="E1147" s="1">
        <v>11</v>
      </c>
      <c r="F1147" s="3">
        <v>3000</v>
      </c>
      <c r="G1147" s="1">
        <v>2</v>
      </c>
      <c r="H1147" s="1" t="s">
        <v>2336</v>
      </c>
      <c r="I1147" s="1" t="s">
        <v>822</v>
      </c>
      <c r="J1147" s="1" t="s">
        <v>16</v>
      </c>
      <c r="K1147" s="1" t="s">
        <v>2316</v>
      </c>
      <c r="L1147" s="1" t="s">
        <v>2234</v>
      </c>
      <c r="M1147">
        <f t="shared" si="119"/>
        <v>500</v>
      </c>
      <c r="N1147" t="str">
        <f t="shared" si="120"/>
        <v>1966-10-05</v>
      </c>
      <c r="O1147">
        <f t="shared" si="121"/>
        <v>46</v>
      </c>
      <c r="P1147" t="str">
        <f t="shared" si="122"/>
        <v>kobieta</v>
      </c>
      <c r="Q1147">
        <f t="shared" si="123"/>
        <v>96</v>
      </c>
      <c r="R1147">
        <f t="shared" si="124"/>
        <v>48</v>
      </c>
      <c r="S1147">
        <f t="shared" ca="1" si="125"/>
        <v>7</v>
      </c>
    </row>
    <row r="1148" spans="1:19">
      <c r="A1148" s="1" t="s">
        <v>19</v>
      </c>
      <c r="B1148" s="2">
        <v>250</v>
      </c>
      <c r="C1148" s="1">
        <v>250</v>
      </c>
      <c r="D1148" s="1" t="s">
        <v>446</v>
      </c>
      <c r="E1148" s="1">
        <v>11</v>
      </c>
      <c r="F1148" s="3">
        <v>2100</v>
      </c>
      <c r="G1148" s="1">
        <v>3</v>
      </c>
      <c r="H1148" s="1" t="s">
        <v>2337</v>
      </c>
      <c r="I1148" s="1" t="s">
        <v>448</v>
      </c>
      <c r="J1148" s="1" t="s">
        <v>16</v>
      </c>
      <c r="K1148" s="1" t="s">
        <v>2316</v>
      </c>
      <c r="L1148" s="1" t="s">
        <v>2161</v>
      </c>
      <c r="M1148">
        <f t="shared" si="119"/>
        <v>250</v>
      </c>
      <c r="N1148" t="str">
        <f t="shared" si="120"/>
        <v>1966-01-30</v>
      </c>
      <c r="O1148">
        <f t="shared" si="121"/>
        <v>46</v>
      </c>
      <c r="P1148" t="str">
        <f t="shared" si="122"/>
        <v>mężczyzna</v>
      </c>
      <c r="Q1148">
        <f t="shared" si="123"/>
        <v>53</v>
      </c>
      <c r="R1148">
        <f t="shared" si="124"/>
        <v>48</v>
      </c>
      <c r="S1148">
        <f t="shared" ca="1" si="125"/>
        <v>0</v>
      </c>
    </row>
    <row r="1149" spans="1:19">
      <c r="A1149" s="1" t="s">
        <v>12</v>
      </c>
      <c r="B1149" s="2">
        <v>500</v>
      </c>
      <c r="C1149" s="1">
        <v>500</v>
      </c>
      <c r="D1149" s="1" t="s">
        <v>1307</v>
      </c>
      <c r="E1149" s="1">
        <v>13</v>
      </c>
      <c r="F1149" s="3">
        <v>1883.53</v>
      </c>
      <c r="G1149" s="1">
        <v>0</v>
      </c>
      <c r="H1149" s="1" t="s">
        <v>2338</v>
      </c>
      <c r="I1149" s="1" t="s">
        <v>1309</v>
      </c>
      <c r="J1149" s="1" t="s">
        <v>16</v>
      </c>
      <c r="K1149" s="1" t="s">
        <v>2316</v>
      </c>
      <c r="L1149" s="1" t="s">
        <v>2161</v>
      </c>
      <c r="M1149">
        <f t="shared" si="119"/>
        <v>500</v>
      </c>
      <c r="N1149" t="str">
        <f t="shared" si="120"/>
        <v>1953-06-25</v>
      </c>
      <c r="O1149">
        <f t="shared" si="121"/>
        <v>59</v>
      </c>
      <c r="P1149" t="str">
        <f t="shared" si="122"/>
        <v>kobieta</v>
      </c>
      <c r="Q1149">
        <f t="shared" si="123"/>
        <v>50</v>
      </c>
      <c r="R1149">
        <f t="shared" si="124"/>
        <v>48</v>
      </c>
      <c r="S1149">
        <f t="shared" ca="1" si="125"/>
        <v>0</v>
      </c>
    </row>
    <row r="1150" spans="1:19">
      <c r="A1150" s="1" t="s">
        <v>19</v>
      </c>
      <c r="B1150" s="2">
        <v>1000</v>
      </c>
      <c r="C1150" s="1">
        <v>600</v>
      </c>
      <c r="D1150" s="1" t="s">
        <v>923</v>
      </c>
      <c r="E1150" s="1">
        <v>13</v>
      </c>
      <c r="F1150" s="3">
        <v>2474</v>
      </c>
      <c r="G1150" s="1">
        <v>0</v>
      </c>
      <c r="H1150" s="1" t="s">
        <v>2339</v>
      </c>
      <c r="I1150" s="1" t="s">
        <v>925</v>
      </c>
      <c r="J1150" s="1" t="s">
        <v>16</v>
      </c>
      <c r="K1150" s="1" t="s">
        <v>2316</v>
      </c>
      <c r="L1150" s="1" t="s">
        <v>2161</v>
      </c>
      <c r="M1150">
        <f t="shared" si="119"/>
        <v>600</v>
      </c>
      <c r="N1150" t="str">
        <f t="shared" si="120"/>
        <v>1949-02-26</v>
      </c>
      <c r="O1150">
        <f t="shared" si="121"/>
        <v>63</v>
      </c>
      <c r="P1150" t="str">
        <f t="shared" si="122"/>
        <v>mężczyzna</v>
      </c>
      <c r="Q1150">
        <f t="shared" si="123"/>
        <v>18</v>
      </c>
      <c r="R1150">
        <f t="shared" si="124"/>
        <v>48</v>
      </c>
      <c r="S1150">
        <f t="shared" ca="1" si="125"/>
        <v>0</v>
      </c>
    </row>
    <row r="1151" spans="1:19">
      <c r="A1151" s="1" t="s">
        <v>19</v>
      </c>
      <c r="B1151" s="2">
        <v>800</v>
      </c>
      <c r="C1151" s="1">
        <v>800</v>
      </c>
      <c r="D1151" s="1" t="s">
        <v>575</v>
      </c>
      <c r="E1151" s="1">
        <v>13</v>
      </c>
      <c r="F1151" s="3">
        <v>5100</v>
      </c>
      <c r="G1151" s="1">
        <v>3</v>
      </c>
      <c r="H1151" s="1" t="s">
        <v>2340</v>
      </c>
      <c r="I1151" s="1" t="s">
        <v>577</v>
      </c>
      <c r="J1151" s="1" t="s">
        <v>16</v>
      </c>
      <c r="K1151" s="1" t="s">
        <v>2316</v>
      </c>
      <c r="L1151" s="1" t="s">
        <v>2161</v>
      </c>
      <c r="M1151">
        <f t="shared" si="119"/>
        <v>800</v>
      </c>
      <c r="N1151" t="str">
        <f t="shared" si="120"/>
        <v>1950-08-28</v>
      </c>
      <c r="O1151">
        <f t="shared" si="121"/>
        <v>62</v>
      </c>
      <c r="P1151" t="str">
        <f t="shared" si="122"/>
        <v>kobieta</v>
      </c>
      <c r="Q1151">
        <f t="shared" si="123"/>
        <v>31</v>
      </c>
      <c r="R1151">
        <f t="shared" si="124"/>
        <v>48</v>
      </c>
      <c r="S1151">
        <f t="shared" ca="1" si="125"/>
        <v>0</v>
      </c>
    </row>
    <row r="1152" spans="1:19">
      <c r="A1152" s="1" t="s">
        <v>24</v>
      </c>
      <c r="B1152" s="2">
        <v>1000</v>
      </c>
      <c r="C1152" s="1">
        <v>0</v>
      </c>
      <c r="D1152" s="1" t="s">
        <v>2341</v>
      </c>
      <c r="E1152" s="1">
        <v>11</v>
      </c>
      <c r="F1152" s="3">
        <v>1200</v>
      </c>
      <c r="G1152" s="1">
        <v>0</v>
      </c>
      <c r="H1152" s="1" t="s">
        <v>2342</v>
      </c>
      <c r="I1152" s="1" t="s">
        <v>2343</v>
      </c>
      <c r="J1152" s="1" t="s">
        <v>16</v>
      </c>
      <c r="K1152" s="1" t="s">
        <v>16</v>
      </c>
      <c r="L1152" s="1" t="s">
        <v>28</v>
      </c>
      <c r="M1152">
        <f t="shared" si="119"/>
        <v>1000</v>
      </c>
      <c r="N1152" t="str">
        <f t="shared" si="120"/>
        <v>1959-05-27</v>
      </c>
      <c r="O1152">
        <f t="shared" si="121"/>
        <v>53</v>
      </c>
      <c r="P1152" t="str">
        <f t="shared" si="122"/>
        <v>kobieta</v>
      </c>
      <c r="Q1152">
        <f t="shared" si="123"/>
        <v>33</v>
      </c>
      <c r="R1152">
        <f t="shared" si="124"/>
        <v>48</v>
      </c>
      <c r="S1152">
        <f t="shared" ca="1" si="125"/>
        <v>0</v>
      </c>
    </row>
    <row r="1153" spans="1:19">
      <c r="A1153" s="1" t="s">
        <v>19</v>
      </c>
      <c r="B1153" s="2">
        <v>337.15</v>
      </c>
      <c r="C1153" s="1">
        <v>337.15</v>
      </c>
      <c r="D1153" s="1" t="s">
        <v>1865</v>
      </c>
      <c r="E1153" s="1">
        <v>13</v>
      </c>
      <c r="F1153" s="3">
        <v>1300</v>
      </c>
      <c r="G1153" s="1">
        <v>1</v>
      </c>
      <c r="H1153" s="1" t="s">
        <v>2344</v>
      </c>
      <c r="I1153" s="1" t="s">
        <v>145</v>
      </c>
      <c r="J1153" s="1" t="s">
        <v>16</v>
      </c>
      <c r="K1153" s="1" t="s">
        <v>2316</v>
      </c>
      <c r="L1153" s="1" t="s">
        <v>2161</v>
      </c>
      <c r="M1153">
        <f t="shared" si="119"/>
        <v>337.15</v>
      </c>
      <c r="N1153" t="str">
        <f t="shared" si="120"/>
        <v>1952-04-17</v>
      </c>
      <c r="O1153">
        <f t="shared" si="121"/>
        <v>60</v>
      </c>
      <c r="P1153" t="str">
        <f t="shared" si="122"/>
        <v>kobieta</v>
      </c>
      <c r="Q1153">
        <f t="shared" si="123"/>
        <v>33</v>
      </c>
      <c r="R1153">
        <f t="shared" si="124"/>
        <v>48</v>
      </c>
      <c r="S1153">
        <f t="shared" ca="1" si="125"/>
        <v>0</v>
      </c>
    </row>
    <row r="1154" spans="1:19">
      <c r="A1154" s="1" t="s">
        <v>19</v>
      </c>
      <c r="B1154" s="2">
        <v>500</v>
      </c>
      <c r="C1154" s="1">
        <v>300</v>
      </c>
      <c r="D1154" s="1" t="s">
        <v>2345</v>
      </c>
      <c r="E1154" s="1">
        <v>11</v>
      </c>
      <c r="F1154" s="3">
        <v>1170</v>
      </c>
      <c r="G1154" s="1">
        <v>0</v>
      </c>
      <c r="H1154" s="1" t="s">
        <v>2346</v>
      </c>
      <c r="I1154" s="1" t="s">
        <v>2347</v>
      </c>
      <c r="J1154" s="1" t="s">
        <v>16</v>
      </c>
      <c r="K1154" s="1" t="s">
        <v>2316</v>
      </c>
      <c r="L1154" s="1" t="s">
        <v>2161</v>
      </c>
      <c r="M1154">
        <f t="shared" si="119"/>
        <v>300</v>
      </c>
      <c r="N1154" t="str">
        <f t="shared" si="120"/>
        <v>1955-09-07</v>
      </c>
      <c r="O1154">
        <f t="shared" si="121"/>
        <v>57</v>
      </c>
      <c r="P1154" t="str">
        <f t="shared" si="122"/>
        <v>mężczyzna</v>
      </c>
      <c r="Q1154">
        <f t="shared" si="123"/>
        <v>70</v>
      </c>
      <c r="R1154">
        <f t="shared" si="124"/>
        <v>48</v>
      </c>
      <c r="S1154">
        <f t="shared" ca="1" si="125"/>
        <v>0</v>
      </c>
    </row>
    <row r="1155" spans="1:19">
      <c r="A1155" s="1" t="s">
        <v>19</v>
      </c>
      <c r="B1155" s="2">
        <v>359.6</v>
      </c>
      <c r="C1155" s="1">
        <v>359.6</v>
      </c>
      <c r="D1155" s="1" t="s">
        <v>1155</v>
      </c>
      <c r="E1155" s="1">
        <v>11</v>
      </c>
      <c r="F1155" s="3">
        <v>1261.98</v>
      </c>
      <c r="G1155" s="1">
        <v>0</v>
      </c>
      <c r="H1155" s="1" t="s">
        <v>2348</v>
      </c>
      <c r="I1155" s="1" t="s">
        <v>441</v>
      </c>
      <c r="J1155" s="1" t="s">
        <v>16</v>
      </c>
      <c r="K1155" s="1" t="s">
        <v>107</v>
      </c>
      <c r="L1155" s="1" t="s">
        <v>2161</v>
      </c>
      <c r="M1155">
        <f t="shared" ref="M1155:M1218" si="126">IF(A1155="odmowa", B1155,C1155)</f>
        <v>359.6</v>
      </c>
      <c r="N1155" t="str">
        <f t="shared" ref="N1155:N1218" si="127">CONCATENATE("19", MID(D1155, 1, 2), "-", MID(D1155, 3, 2), "-", MID(D1155, 5, 2))</f>
        <v>1971-08-13</v>
      </c>
      <c r="O1155">
        <f t="shared" ref="O1155:O1218" si="128">YEAR(H1155) - YEAR(N1155)</f>
        <v>41</v>
      </c>
      <c r="P1155" t="str">
        <f t="shared" ref="P1155:P1218" si="129">IF(MOD(MID(D1155, 10, 1), 2)=0, "kobieta", "mężczyzna")</f>
        <v>mężczyzna</v>
      </c>
      <c r="Q1155">
        <f t="shared" ref="Q1155:Q1218" si="130">(YEAR(H1155) - YEAR(I1155)) * 12 + MONTH(H1155) - MONTH(I1155)</f>
        <v>39</v>
      </c>
      <c r="R1155">
        <f t="shared" ref="R1155:R1218" si="131">IF(LEFT(J1155, 4)="0000", 48, MIN(48, (YEAR(J1155) - YEAR(H1155)) * 12 + MONTH(J1155) - MONTH(H1155)))</f>
        <v>48</v>
      </c>
      <c r="S1155">
        <f t="shared" ref="S1155:S1218" ca="1" si="132">IF(LEFT(K1155, 4)="0000", 0, IF(LEFT(L1155, 4)="0000", MAX(0, TODAY() - K1155), MAX(0, L1155 - K1155)))</f>
        <v>0</v>
      </c>
    </row>
    <row r="1156" spans="1:19">
      <c r="A1156" s="1" t="s">
        <v>19</v>
      </c>
      <c r="B1156" s="2">
        <v>600</v>
      </c>
      <c r="C1156" s="1">
        <v>600</v>
      </c>
      <c r="D1156" s="1" t="s">
        <v>167</v>
      </c>
      <c r="E1156" s="1">
        <v>11</v>
      </c>
      <c r="F1156" s="3">
        <v>2800</v>
      </c>
      <c r="G1156" s="1">
        <v>0</v>
      </c>
      <c r="H1156" s="1" t="s">
        <v>2349</v>
      </c>
      <c r="I1156" s="1" t="s">
        <v>169</v>
      </c>
      <c r="J1156" s="1" t="s">
        <v>16</v>
      </c>
      <c r="K1156" s="1" t="s">
        <v>107</v>
      </c>
      <c r="L1156" s="1" t="s">
        <v>2350</v>
      </c>
      <c r="M1156">
        <f t="shared" si="126"/>
        <v>600</v>
      </c>
      <c r="N1156" t="str">
        <f t="shared" si="127"/>
        <v>1962-05-26</v>
      </c>
      <c r="O1156">
        <f t="shared" si="128"/>
        <v>50</v>
      </c>
      <c r="P1156" t="str">
        <f t="shared" si="129"/>
        <v>kobieta</v>
      </c>
      <c r="Q1156">
        <f t="shared" si="130"/>
        <v>322</v>
      </c>
      <c r="R1156">
        <f t="shared" si="131"/>
        <v>48</v>
      </c>
      <c r="S1156">
        <f t="shared" ca="1" si="132"/>
        <v>8</v>
      </c>
    </row>
    <row r="1157" spans="1:19">
      <c r="A1157" s="1" t="s">
        <v>19</v>
      </c>
      <c r="B1157" s="2">
        <v>600</v>
      </c>
      <c r="C1157" s="1">
        <v>600</v>
      </c>
      <c r="D1157" s="1" t="s">
        <v>119</v>
      </c>
      <c r="E1157" s="1">
        <v>11</v>
      </c>
      <c r="F1157" s="3">
        <v>1331.21</v>
      </c>
      <c r="G1157" s="1">
        <v>7</v>
      </c>
      <c r="H1157" s="1" t="s">
        <v>2351</v>
      </c>
      <c r="I1157" s="1" t="s">
        <v>121</v>
      </c>
      <c r="J1157" s="1" t="s">
        <v>16</v>
      </c>
      <c r="K1157" s="1" t="s">
        <v>107</v>
      </c>
      <c r="L1157" s="1" t="s">
        <v>2119</v>
      </c>
      <c r="M1157">
        <f t="shared" si="126"/>
        <v>600</v>
      </c>
      <c r="N1157" t="str">
        <f t="shared" si="127"/>
        <v>1979-06-17</v>
      </c>
      <c r="O1157">
        <f t="shared" si="128"/>
        <v>33</v>
      </c>
      <c r="P1157" t="str">
        <f t="shared" si="129"/>
        <v>kobieta</v>
      </c>
      <c r="Q1157">
        <f t="shared" si="130"/>
        <v>22</v>
      </c>
      <c r="R1157">
        <f t="shared" si="131"/>
        <v>48</v>
      </c>
      <c r="S1157">
        <f t="shared" ca="1" si="132"/>
        <v>1</v>
      </c>
    </row>
    <row r="1158" spans="1:19">
      <c r="A1158" s="1" t="s">
        <v>12</v>
      </c>
      <c r="B1158" s="2">
        <v>206</v>
      </c>
      <c r="C1158" s="1">
        <v>206</v>
      </c>
      <c r="D1158" s="1" t="s">
        <v>518</v>
      </c>
      <c r="E1158" s="1">
        <v>12</v>
      </c>
      <c r="F1158" s="3">
        <v>1521</v>
      </c>
      <c r="G1158" s="1">
        <v>4</v>
      </c>
      <c r="H1158" s="1" t="s">
        <v>2352</v>
      </c>
      <c r="I1158" s="1" t="s">
        <v>300</v>
      </c>
      <c r="J1158" s="1" t="s">
        <v>520</v>
      </c>
      <c r="K1158" s="1" t="s">
        <v>107</v>
      </c>
      <c r="L1158" s="1" t="s">
        <v>2119</v>
      </c>
      <c r="M1158">
        <f t="shared" si="126"/>
        <v>206</v>
      </c>
      <c r="N1158" t="str">
        <f t="shared" si="127"/>
        <v>1981-12-29</v>
      </c>
      <c r="O1158">
        <f t="shared" si="128"/>
        <v>31</v>
      </c>
      <c r="P1158" t="str">
        <f t="shared" si="129"/>
        <v>mężczyzna</v>
      </c>
      <c r="Q1158">
        <f t="shared" si="130"/>
        <v>23</v>
      </c>
      <c r="R1158">
        <f t="shared" si="131"/>
        <v>7</v>
      </c>
      <c r="S1158">
        <f t="shared" ca="1" si="132"/>
        <v>1</v>
      </c>
    </row>
    <row r="1159" spans="1:19">
      <c r="A1159" s="1" t="s">
        <v>19</v>
      </c>
      <c r="B1159" s="2">
        <v>800</v>
      </c>
      <c r="C1159" s="1">
        <v>600</v>
      </c>
      <c r="D1159" s="1" t="s">
        <v>2353</v>
      </c>
      <c r="E1159" s="1">
        <v>16</v>
      </c>
      <c r="F1159" s="3">
        <v>1362</v>
      </c>
      <c r="G1159" s="1">
        <v>0</v>
      </c>
      <c r="H1159" s="1" t="s">
        <v>2354</v>
      </c>
      <c r="I1159" s="1" t="s">
        <v>776</v>
      </c>
      <c r="J1159" s="1" t="s">
        <v>16</v>
      </c>
      <c r="K1159" s="1" t="s">
        <v>107</v>
      </c>
      <c r="L1159" s="1" t="s">
        <v>2324</v>
      </c>
      <c r="M1159">
        <f t="shared" si="126"/>
        <v>600</v>
      </c>
      <c r="N1159" t="str">
        <f t="shared" si="127"/>
        <v>1958-10-02</v>
      </c>
      <c r="O1159">
        <f t="shared" si="128"/>
        <v>54</v>
      </c>
      <c r="P1159" t="str">
        <f t="shared" si="129"/>
        <v>kobieta</v>
      </c>
      <c r="Q1159">
        <f t="shared" si="130"/>
        <v>32</v>
      </c>
      <c r="R1159">
        <f t="shared" si="131"/>
        <v>48</v>
      </c>
      <c r="S1159">
        <f t="shared" ca="1" si="132"/>
        <v>0</v>
      </c>
    </row>
    <row r="1160" spans="1:19">
      <c r="A1160" s="1" t="s">
        <v>19</v>
      </c>
      <c r="B1160" s="2">
        <v>300</v>
      </c>
      <c r="C1160" s="1">
        <v>300</v>
      </c>
      <c r="D1160" s="1" t="s">
        <v>1062</v>
      </c>
      <c r="E1160" s="1">
        <v>16</v>
      </c>
      <c r="F1160" s="3">
        <v>1740</v>
      </c>
      <c r="G1160" s="1">
        <v>1</v>
      </c>
      <c r="H1160" s="1" t="s">
        <v>2355</v>
      </c>
      <c r="I1160" s="1" t="s">
        <v>1064</v>
      </c>
      <c r="J1160" s="1" t="s">
        <v>16</v>
      </c>
      <c r="K1160" s="1" t="s">
        <v>107</v>
      </c>
      <c r="L1160" s="1" t="s">
        <v>2147</v>
      </c>
      <c r="M1160">
        <f t="shared" si="126"/>
        <v>300</v>
      </c>
      <c r="N1160" t="str">
        <f t="shared" si="127"/>
        <v>1958-04-26</v>
      </c>
      <c r="O1160">
        <f t="shared" si="128"/>
        <v>54</v>
      </c>
      <c r="P1160" t="str">
        <f t="shared" si="129"/>
        <v>kobieta</v>
      </c>
      <c r="Q1160">
        <f t="shared" si="130"/>
        <v>117</v>
      </c>
      <c r="R1160">
        <f t="shared" si="131"/>
        <v>48</v>
      </c>
      <c r="S1160">
        <f t="shared" ca="1" si="132"/>
        <v>2</v>
      </c>
    </row>
    <row r="1161" spans="1:19">
      <c r="A1161" s="1" t="s">
        <v>19</v>
      </c>
      <c r="B1161" s="2">
        <v>389.72</v>
      </c>
      <c r="C1161" s="1">
        <v>389.72</v>
      </c>
      <c r="D1161" s="1" t="s">
        <v>508</v>
      </c>
      <c r="E1161" s="1">
        <v>98</v>
      </c>
      <c r="F1161" s="3">
        <v>3000</v>
      </c>
      <c r="G1161" s="1">
        <v>4</v>
      </c>
      <c r="H1161" s="1" t="s">
        <v>2356</v>
      </c>
      <c r="I1161" s="1" t="s">
        <v>333</v>
      </c>
      <c r="J1161" s="1" t="s">
        <v>16</v>
      </c>
      <c r="K1161" s="1" t="s">
        <v>107</v>
      </c>
      <c r="L1161" s="1" t="s">
        <v>2119</v>
      </c>
      <c r="M1161">
        <f t="shared" si="126"/>
        <v>389.72</v>
      </c>
      <c r="N1161" t="str">
        <f t="shared" si="127"/>
        <v>1959-03-02</v>
      </c>
      <c r="O1161">
        <f t="shared" si="128"/>
        <v>53</v>
      </c>
      <c r="P1161" t="str">
        <f t="shared" si="129"/>
        <v>kobieta</v>
      </c>
      <c r="Q1161">
        <f t="shared" si="130"/>
        <v>88</v>
      </c>
      <c r="R1161">
        <f t="shared" si="131"/>
        <v>48</v>
      </c>
      <c r="S1161">
        <f t="shared" ca="1" si="132"/>
        <v>1</v>
      </c>
    </row>
    <row r="1162" spans="1:19">
      <c r="A1162" s="1" t="s">
        <v>19</v>
      </c>
      <c r="B1162" s="2">
        <v>400</v>
      </c>
      <c r="C1162" s="1">
        <v>400</v>
      </c>
      <c r="D1162" s="1" t="s">
        <v>514</v>
      </c>
      <c r="E1162" s="1">
        <v>13</v>
      </c>
      <c r="F1162" s="3">
        <v>1900</v>
      </c>
      <c r="G1162" s="1">
        <v>4</v>
      </c>
      <c r="H1162" s="1" t="s">
        <v>2357</v>
      </c>
      <c r="I1162" s="1" t="s">
        <v>319</v>
      </c>
      <c r="J1162" s="1" t="s">
        <v>16</v>
      </c>
      <c r="K1162" s="1" t="s">
        <v>107</v>
      </c>
      <c r="L1162" s="1" t="s">
        <v>2119</v>
      </c>
      <c r="M1162">
        <f t="shared" si="126"/>
        <v>400</v>
      </c>
      <c r="N1162" t="str">
        <f t="shared" si="127"/>
        <v>1936-04-01</v>
      </c>
      <c r="O1162">
        <f t="shared" si="128"/>
        <v>76</v>
      </c>
      <c r="P1162" t="str">
        <f t="shared" si="129"/>
        <v>kobieta</v>
      </c>
      <c r="Q1162">
        <f t="shared" si="130"/>
        <v>124</v>
      </c>
      <c r="R1162">
        <f t="shared" si="131"/>
        <v>48</v>
      </c>
      <c r="S1162">
        <f t="shared" ca="1" si="132"/>
        <v>1</v>
      </c>
    </row>
    <row r="1163" spans="1:19">
      <c r="A1163" s="1" t="s">
        <v>19</v>
      </c>
      <c r="B1163" s="2">
        <v>203.42</v>
      </c>
      <c r="C1163" s="1">
        <v>203.42</v>
      </c>
      <c r="D1163" s="1" t="s">
        <v>1106</v>
      </c>
      <c r="E1163" s="1">
        <v>11</v>
      </c>
      <c r="F1163" s="3">
        <v>1888.27</v>
      </c>
      <c r="G1163" s="1">
        <v>2</v>
      </c>
      <c r="H1163" s="1" t="s">
        <v>2358</v>
      </c>
      <c r="I1163" s="1" t="s">
        <v>1108</v>
      </c>
      <c r="J1163" s="1" t="s">
        <v>16</v>
      </c>
      <c r="K1163" s="1" t="s">
        <v>107</v>
      </c>
      <c r="L1163" s="1" t="s">
        <v>2234</v>
      </c>
      <c r="M1163">
        <f t="shared" si="126"/>
        <v>203.42</v>
      </c>
      <c r="N1163" t="str">
        <f t="shared" si="127"/>
        <v>1982-06-15</v>
      </c>
      <c r="O1163">
        <f t="shared" si="128"/>
        <v>30</v>
      </c>
      <c r="P1163" t="str">
        <f t="shared" si="129"/>
        <v>mężczyzna</v>
      </c>
      <c r="Q1163">
        <f t="shared" si="130"/>
        <v>80</v>
      </c>
      <c r="R1163">
        <f t="shared" si="131"/>
        <v>48</v>
      </c>
      <c r="S1163">
        <f t="shared" ca="1" si="132"/>
        <v>6</v>
      </c>
    </row>
    <row r="1164" spans="1:19">
      <c r="A1164" s="1" t="s">
        <v>19</v>
      </c>
      <c r="B1164" s="2">
        <v>1000</v>
      </c>
      <c r="C1164" s="1">
        <v>300</v>
      </c>
      <c r="D1164" s="1" t="s">
        <v>2359</v>
      </c>
      <c r="E1164" s="1">
        <v>12</v>
      </c>
      <c r="F1164" s="3">
        <v>2000</v>
      </c>
      <c r="G1164" s="1">
        <v>0</v>
      </c>
      <c r="H1164" s="1" t="s">
        <v>2360</v>
      </c>
      <c r="I1164" s="1" t="s">
        <v>2361</v>
      </c>
      <c r="J1164" s="1" t="s">
        <v>2362</v>
      </c>
      <c r="K1164" s="1" t="s">
        <v>107</v>
      </c>
      <c r="L1164" s="1" t="s">
        <v>2324</v>
      </c>
      <c r="M1164">
        <f t="shared" si="126"/>
        <v>300</v>
      </c>
      <c r="N1164" t="str">
        <f t="shared" si="127"/>
        <v>1974-03-21</v>
      </c>
      <c r="O1164">
        <f t="shared" si="128"/>
        <v>38</v>
      </c>
      <c r="P1164" t="str">
        <f t="shared" si="129"/>
        <v>kobieta</v>
      </c>
      <c r="Q1164">
        <f t="shared" si="130"/>
        <v>92</v>
      </c>
      <c r="R1164">
        <f t="shared" si="131"/>
        <v>48</v>
      </c>
      <c r="S1164">
        <f t="shared" ca="1" si="132"/>
        <v>0</v>
      </c>
    </row>
    <row r="1165" spans="1:19">
      <c r="A1165" s="1" t="s">
        <v>19</v>
      </c>
      <c r="B1165" s="2">
        <v>290.88</v>
      </c>
      <c r="C1165" s="1">
        <v>290.88</v>
      </c>
      <c r="D1165" s="1" t="s">
        <v>222</v>
      </c>
      <c r="E1165" s="1">
        <v>13</v>
      </c>
      <c r="F1165" s="3">
        <v>1090.1400000000001</v>
      </c>
      <c r="G1165" s="1">
        <v>7</v>
      </c>
      <c r="H1165" s="1" t="s">
        <v>2363</v>
      </c>
      <c r="I1165" s="1" t="s">
        <v>224</v>
      </c>
      <c r="J1165" s="1" t="s">
        <v>16</v>
      </c>
      <c r="K1165" s="1" t="s">
        <v>107</v>
      </c>
      <c r="L1165" s="1" t="s">
        <v>2119</v>
      </c>
      <c r="M1165">
        <f t="shared" si="126"/>
        <v>290.88</v>
      </c>
      <c r="N1165" t="str">
        <f t="shared" si="127"/>
        <v>1950-06-12</v>
      </c>
      <c r="O1165">
        <f t="shared" si="128"/>
        <v>62</v>
      </c>
      <c r="P1165" t="str">
        <f t="shared" si="129"/>
        <v>kobieta</v>
      </c>
      <c r="Q1165">
        <f t="shared" si="130"/>
        <v>78</v>
      </c>
      <c r="R1165">
        <f t="shared" si="131"/>
        <v>48</v>
      </c>
      <c r="S1165">
        <f t="shared" ca="1" si="132"/>
        <v>1</v>
      </c>
    </row>
    <row r="1166" spans="1:19">
      <c r="A1166" s="1" t="s">
        <v>19</v>
      </c>
      <c r="B1166" s="2">
        <v>455.59</v>
      </c>
      <c r="C1166" s="1">
        <v>455.59</v>
      </c>
      <c r="D1166" s="1" t="s">
        <v>1260</v>
      </c>
      <c r="E1166" s="1">
        <v>11</v>
      </c>
      <c r="F1166" s="3">
        <v>2245.0100000000002</v>
      </c>
      <c r="G1166" s="1">
        <v>2</v>
      </c>
      <c r="H1166" s="1" t="s">
        <v>2364</v>
      </c>
      <c r="I1166" s="1" t="s">
        <v>1262</v>
      </c>
      <c r="J1166" s="1" t="s">
        <v>16</v>
      </c>
      <c r="K1166" s="1" t="s">
        <v>107</v>
      </c>
      <c r="L1166" s="1" t="s">
        <v>2234</v>
      </c>
      <c r="M1166">
        <f t="shared" si="126"/>
        <v>455.59</v>
      </c>
      <c r="N1166" t="str">
        <f t="shared" si="127"/>
        <v>1967-01-03</v>
      </c>
      <c r="O1166">
        <f t="shared" si="128"/>
        <v>45</v>
      </c>
      <c r="P1166" t="str">
        <f t="shared" si="129"/>
        <v>kobieta</v>
      </c>
      <c r="Q1166">
        <f t="shared" si="130"/>
        <v>149</v>
      </c>
      <c r="R1166">
        <f t="shared" si="131"/>
        <v>48</v>
      </c>
      <c r="S1166">
        <f t="shared" ca="1" si="132"/>
        <v>6</v>
      </c>
    </row>
    <row r="1167" spans="1:19">
      <c r="A1167" s="1" t="s">
        <v>19</v>
      </c>
      <c r="B1167" s="2">
        <v>550</v>
      </c>
      <c r="C1167" s="1">
        <v>550</v>
      </c>
      <c r="D1167" s="1" t="s">
        <v>384</v>
      </c>
      <c r="E1167" s="1">
        <v>13</v>
      </c>
      <c r="F1167" s="3">
        <v>3900</v>
      </c>
      <c r="G1167" s="1">
        <v>0</v>
      </c>
      <c r="H1167" s="1" t="s">
        <v>2365</v>
      </c>
      <c r="I1167" s="1" t="s">
        <v>386</v>
      </c>
      <c r="J1167" s="1" t="s">
        <v>16</v>
      </c>
      <c r="K1167" s="1" t="s">
        <v>107</v>
      </c>
      <c r="L1167" s="1" t="s">
        <v>2207</v>
      </c>
      <c r="M1167">
        <f t="shared" si="126"/>
        <v>550</v>
      </c>
      <c r="N1167" t="str">
        <f t="shared" si="127"/>
        <v>1952-08-15</v>
      </c>
      <c r="O1167">
        <f t="shared" si="128"/>
        <v>60</v>
      </c>
      <c r="P1167" t="str">
        <f t="shared" si="129"/>
        <v>mężczyzna</v>
      </c>
      <c r="Q1167">
        <f t="shared" si="130"/>
        <v>117</v>
      </c>
      <c r="R1167">
        <f t="shared" si="131"/>
        <v>48</v>
      </c>
      <c r="S1167">
        <f t="shared" ca="1" si="132"/>
        <v>0</v>
      </c>
    </row>
    <row r="1168" spans="1:19">
      <c r="A1168" s="1" t="s">
        <v>19</v>
      </c>
      <c r="B1168" s="2">
        <v>500</v>
      </c>
      <c r="C1168" s="1">
        <v>500</v>
      </c>
      <c r="D1168" s="1" t="s">
        <v>193</v>
      </c>
      <c r="E1168" s="1">
        <v>11</v>
      </c>
      <c r="F1168" s="3">
        <v>1700</v>
      </c>
      <c r="G1168" s="1">
        <v>7</v>
      </c>
      <c r="H1168" s="1" t="s">
        <v>2366</v>
      </c>
      <c r="I1168" s="1" t="s">
        <v>195</v>
      </c>
      <c r="J1168" s="1" t="s">
        <v>16</v>
      </c>
      <c r="K1168" s="1" t="s">
        <v>2367</v>
      </c>
      <c r="L1168" s="1" t="s">
        <v>2145</v>
      </c>
      <c r="M1168">
        <f t="shared" si="126"/>
        <v>500</v>
      </c>
      <c r="N1168" t="str">
        <f t="shared" si="127"/>
        <v>1960-01-08</v>
      </c>
      <c r="O1168">
        <f t="shared" si="128"/>
        <v>52</v>
      </c>
      <c r="P1168" t="str">
        <f t="shared" si="129"/>
        <v>kobieta</v>
      </c>
      <c r="Q1168">
        <f t="shared" si="130"/>
        <v>309</v>
      </c>
      <c r="R1168">
        <f t="shared" si="131"/>
        <v>48</v>
      </c>
      <c r="S1168">
        <f t="shared" ca="1" si="132"/>
        <v>4</v>
      </c>
    </row>
    <row r="1169" spans="1:19">
      <c r="A1169" s="1" t="s">
        <v>19</v>
      </c>
      <c r="B1169" s="2">
        <v>200</v>
      </c>
      <c r="C1169" s="1">
        <v>200</v>
      </c>
      <c r="D1169" s="1" t="s">
        <v>555</v>
      </c>
      <c r="E1169" s="1">
        <v>99</v>
      </c>
      <c r="F1169" s="3">
        <v>1100</v>
      </c>
      <c r="G1169" s="1">
        <v>5</v>
      </c>
      <c r="H1169" s="1" t="s">
        <v>2368</v>
      </c>
      <c r="I1169" s="1" t="s">
        <v>557</v>
      </c>
      <c r="J1169" s="1" t="s">
        <v>90</v>
      </c>
      <c r="K1169" s="1" t="s">
        <v>2367</v>
      </c>
      <c r="L1169" s="1" t="s">
        <v>2119</v>
      </c>
      <c r="M1169">
        <f t="shared" si="126"/>
        <v>200</v>
      </c>
      <c r="N1169" t="str">
        <f t="shared" si="127"/>
        <v>1958-10-15</v>
      </c>
      <c r="O1169">
        <f t="shared" si="128"/>
        <v>54</v>
      </c>
      <c r="P1169" t="str">
        <f t="shared" si="129"/>
        <v>kobieta</v>
      </c>
      <c r="Q1169">
        <f t="shared" si="130"/>
        <v>55</v>
      </c>
      <c r="R1169">
        <f t="shared" si="131"/>
        <v>0</v>
      </c>
      <c r="S1169">
        <f t="shared" ca="1" si="132"/>
        <v>0</v>
      </c>
    </row>
    <row r="1170" spans="1:19">
      <c r="A1170" s="1" t="s">
        <v>19</v>
      </c>
      <c r="B1170" s="2">
        <v>400</v>
      </c>
      <c r="C1170" s="1">
        <v>400</v>
      </c>
      <c r="D1170" s="1" t="s">
        <v>492</v>
      </c>
      <c r="E1170" s="1">
        <v>13</v>
      </c>
      <c r="F1170" s="3">
        <v>1425</v>
      </c>
      <c r="G1170" s="1">
        <v>0</v>
      </c>
      <c r="H1170" s="1" t="s">
        <v>2369</v>
      </c>
      <c r="I1170" s="1" t="s">
        <v>66</v>
      </c>
      <c r="J1170" s="1" t="s">
        <v>16</v>
      </c>
      <c r="K1170" s="1" t="s">
        <v>2367</v>
      </c>
      <c r="L1170" s="1" t="s">
        <v>2119</v>
      </c>
      <c r="M1170">
        <f t="shared" si="126"/>
        <v>400</v>
      </c>
      <c r="N1170" t="str">
        <f t="shared" si="127"/>
        <v>1951-06-22</v>
      </c>
      <c r="O1170">
        <f t="shared" si="128"/>
        <v>61</v>
      </c>
      <c r="P1170" t="str">
        <f t="shared" si="129"/>
        <v>kobieta</v>
      </c>
      <c r="Q1170">
        <f t="shared" si="130"/>
        <v>82</v>
      </c>
      <c r="R1170">
        <f t="shared" si="131"/>
        <v>48</v>
      </c>
      <c r="S1170">
        <f t="shared" ca="1" si="132"/>
        <v>0</v>
      </c>
    </row>
    <row r="1171" spans="1:19">
      <c r="A1171" s="1" t="s">
        <v>19</v>
      </c>
      <c r="B1171" s="2">
        <v>300</v>
      </c>
      <c r="C1171" s="1">
        <v>300</v>
      </c>
      <c r="D1171" s="1" t="s">
        <v>164</v>
      </c>
      <c r="E1171" s="1">
        <v>11</v>
      </c>
      <c r="F1171" s="3">
        <v>1680</v>
      </c>
      <c r="G1171" s="1">
        <v>7</v>
      </c>
      <c r="H1171" s="1" t="s">
        <v>2370</v>
      </c>
      <c r="I1171" s="1" t="s">
        <v>166</v>
      </c>
      <c r="J1171" s="1" t="s">
        <v>16</v>
      </c>
      <c r="K1171" s="1" t="s">
        <v>2367</v>
      </c>
      <c r="L1171" s="1" t="s">
        <v>2145</v>
      </c>
      <c r="M1171">
        <f t="shared" si="126"/>
        <v>300</v>
      </c>
      <c r="N1171" t="str">
        <f t="shared" si="127"/>
        <v>1954-03-14</v>
      </c>
      <c r="O1171">
        <f t="shared" si="128"/>
        <v>58</v>
      </c>
      <c r="P1171" t="str">
        <f t="shared" si="129"/>
        <v>kobieta</v>
      </c>
      <c r="Q1171">
        <f t="shared" si="130"/>
        <v>388</v>
      </c>
      <c r="R1171">
        <f t="shared" si="131"/>
        <v>48</v>
      </c>
      <c r="S1171">
        <f t="shared" ca="1" si="132"/>
        <v>4</v>
      </c>
    </row>
    <row r="1172" spans="1:19">
      <c r="A1172" s="1" t="s">
        <v>19</v>
      </c>
      <c r="B1172" s="2">
        <v>200</v>
      </c>
      <c r="C1172" s="1">
        <v>200</v>
      </c>
      <c r="D1172" s="1" t="s">
        <v>642</v>
      </c>
      <c r="E1172" s="1">
        <v>13</v>
      </c>
      <c r="F1172" s="3">
        <v>984</v>
      </c>
      <c r="G1172" s="1">
        <v>3</v>
      </c>
      <c r="H1172" s="1" t="s">
        <v>2371</v>
      </c>
      <c r="I1172" s="1" t="s">
        <v>644</v>
      </c>
      <c r="J1172" s="1" t="s">
        <v>16</v>
      </c>
      <c r="K1172" s="1" t="s">
        <v>2367</v>
      </c>
      <c r="L1172" s="1" t="s">
        <v>2119</v>
      </c>
      <c r="M1172">
        <f t="shared" si="126"/>
        <v>200</v>
      </c>
      <c r="N1172" t="str">
        <f t="shared" si="127"/>
        <v>1950-07-18</v>
      </c>
      <c r="O1172">
        <f t="shared" si="128"/>
        <v>62</v>
      </c>
      <c r="P1172" t="str">
        <f t="shared" si="129"/>
        <v>kobieta</v>
      </c>
      <c r="Q1172">
        <f t="shared" si="130"/>
        <v>14</v>
      </c>
      <c r="R1172">
        <f t="shared" si="131"/>
        <v>48</v>
      </c>
      <c r="S1172">
        <f t="shared" ca="1" si="132"/>
        <v>0</v>
      </c>
    </row>
    <row r="1173" spans="1:19">
      <c r="A1173" s="1" t="s">
        <v>19</v>
      </c>
      <c r="B1173" s="2">
        <v>300</v>
      </c>
      <c r="C1173" s="1">
        <v>300</v>
      </c>
      <c r="D1173" s="1" t="s">
        <v>1852</v>
      </c>
      <c r="E1173" s="1">
        <v>13</v>
      </c>
      <c r="F1173" s="3">
        <v>1400</v>
      </c>
      <c r="G1173" s="1">
        <v>1</v>
      </c>
      <c r="H1173" s="1" t="s">
        <v>2372</v>
      </c>
      <c r="I1173" s="1" t="s">
        <v>1854</v>
      </c>
      <c r="J1173" s="1" t="s">
        <v>16</v>
      </c>
      <c r="K1173" s="1" t="s">
        <v>2367</v>
      </c>
      <c r="L1173" s="1" t="s">
        <v>2147</v>
      </c>
      <c r="M1173">
        <f t="shared" si="126"/>
        <v>300</v>
      </c>
      <c r="N1173" t="str">
        <f t="shared" si="127"/>
        <v>1946-04-13</v>
      </c>
      <c r="O1173">
        <f t="shared" si="128"/>
        <v>66</v>
      </c>
      <c r="P1173" t="str">
        <f t="shared" si="129"/>
        <v>kobieta</v>
      </c>
      <c r="Q1173">
        <f t="shared" si="130"/>
        <v>121</v>
      </c>
      <c r="R1173">
        <f t="shared" si="131"/>
        <v>48</v>
      </c>
      <c r="S1173">
        <f t="shared" ca="1" si="132"/>
        <v>1</v>
      </c>
    </row>
    <row r="1174" spans="1:19">
      <c r="A1174" s="1" t="s">
        <v>19</v>
      </c>
      <c r="B1174" s="2">
        <v>500</v>
      </c>
      <c r="C1174" s="1">
        <v>500</v>
      </c>
      <c r="D1174" s="1" t="s">
        <v>1525</v>
      </c>
      <c r="E1174" s="1">
        <v>13</v>
      </c>
      <c r="F1174" s="3">
        <v>1150</v>
      </c>
      <c r="G1174" s="1">
        <v>0</v>
      </c>
      <c r="H1174" s="1" t="s">
        <v>2373</v>
      </c>
      <c r="I1174" s="1" t="s">
        <v>1527</v>
      </c>
      <c r="J1174" s="1" t="s">
        <v>16</v>
      </c>
      <c r="K1174" s="1" t="s">
        <v>2367</v>
      </c>
      <c r="L1174" s="1" t="s">
        <v>2147</v>
      </c>
      <c r="M1174">
        <f t="shared" si="126"/>
        <v>500</v>
      </c>
      <c r="N1174" t="str">
        <f t="shared" si="127"/>
        <v>1936-04-17</v>
      </c>
      <c r="O1174">
        <f t="shared" si="128"/>
        <v>76</v>
      </c>
      <c r="P1174" t="str">
        <f t="shared" si="129"/>
        <v>mężczyzna</v>
      </c>
      <c r="Q1174">
        <f t="shared" si="130"/>
        <v>141</v>
      </c>
      <c r="R1174">
        <f t="shared" si="131"/>
        <v>48</v>
      </c>
      <c r="S1174">
        <f t="shared" ca="1" si="132"/>
        <v>1</v>
      </c>
    </row>
    <row r="1175" spans="1:19">
      <c r="A1175" s="1" t="s">
        <v>19</v>
      </c>
      <c r="B1175" s="2">
        <v>500</v>
      </c>
      <c r="C1175" s="1">
        <v>300</v>
      </c>
      <c r="D1175" s="1" t="s">
        <v>2374</v>
      </c>
      <c r="E1175" s="1">
        <v>11</v>
      </c>
      <c r="F1175" s="3">
        <v>981</v>
      </c>
      <c r="G1175" s="1">
        <v>0</v>
      </c>
      <c r="H1175" s="1" t="s">
        <v>2375</v>
      </c>
      <c r="I1175" s="1" t="s">
        <v>2376</v>
      </c>
      <c r="J1175" s="1" t="s">
        <v>16</v>
      </c>
      <c r="K1175" s="1" t="s">
        <v>2367</v>
      </c>
      <c r="L1175" s="1" t="s">
        <v>2119</v>
      </c>
      <c r="M1175">
        <f t="shared" si="126"/>
        <v>300</v>
      </c>
      <c r="N1175" t="str">
        <f t="shared" si="127"/>
        <v>1958-04-02</v>
      </c>
      <c r="O1175">
        <f t="shared" si="128"/>
        <v>54</v>
      </c>
      <c r="P1175" t="str">
        <f t="shared" si="129"/>
        <v>mężczyzna</v>
      </c>
      <c r="Q1175">
        <f t="shared" si="130"/>
        <v>23</v>
      </c>
      <c r="R1175">
        <f t="shared" si="131"/>
        <v>48</v>
      </c>
      <c r="S1175">
        <f t="shared" ca="1" si="132"/>
        <v>0</v>
      </c>
    </row>
    <row r="1176" spans="1:19">
      <c r="A1176" s="1" t="s">
        <v>56</v>
      </c>
      <c r="B1176" s="2">
        <v>378.53</v>
      </c>
      <c r="C1176" s="1">
        <v>378.53</v>
      </c>
      <c r="D1176" s="1" t="s">
        <v>429</v>
      </c>
      <c r="E1176" s="1">
        <v>12</v>
      </c>
      <c r="F1176" s="3">
        <v>1963.88</v>
      </c>
      <c r="G1176" s="1">
        <v>7</v>
      </c>
      <c r="H1176" s="1" t="s">
        <v>2377</v>
      </c>
      <c r="I1176" s="1" t="s">
        <v>431</v>
      </c>
      <c r="J1176" s="1" t="s">
        <v>2023</v>
      </c>
      <c r="K1176" s="1" t="s">
        <v>2367</v>
      </c>
      <c r="L1176" s="1" t="s">
        <v>28</v>
      </c>
      <c r="M1176">
        <f t="shared" si="126"/>
        <v>378.53</v>
      </c>
      <c r="N1176" t="str">
        <f t="shared" si="127"/>
        <v>1967-05-18</v>
      </c>
      <c r="O1176">
        <f t="shared" si="128"/>
        <v>45</v>
      </c>
      <c r="P1176" t="str">
        <f t="shared" si="129"/>
        <v>mężczyzna</v>
      </c>
      <c r="Q1176">
        <f t="shared" si="130"/>
        <v>9</v>
      </c>
      <c r="R1176">
        <f t="shared" si="131"/>
        <v>11</v>
      </c>
      <c r="S1176">
        <f t="shared" ca="1" si="132"/>
        <v>5170</v>
      </c>
    </row>
    <row r="1177" spans="1:19">
      <c r="A1177" s="1" t="s">
        <v>12</v>
      </c>
      <c r="B1177" s="2">
        <v>308.63</v>
      </c>
      <c r="C1177" s="1">
        <v>308.63</v>
      </c>
      <c r="D1177" s="1" t="s">
        <v>247</v>
      </c>
      <c r="E1177" s="1">
        <v>13</v>
      </c>
      <c r="F1177" s="3">
        <v>1291.18</v>
      </c>
      <c r="G1177" s="1">
        <v>8</v>
      </c>
      <c r="H1177" s="1" t="s">
        <v>2378</v>
      </c>
      <c r="I1177" s="1" t="s">
        <v>66</v>
      </c>
      <c r="J1177" s="1" t="s">
        <v>16</v>
      </c>
      <c r="K1177" s="1" t="s">
        <v>2367</v>
      </c>
      <c r="L1177" s="1" t="s">
        <v>2145</v>
      </c>
      <c r="M1177">
        <f t="shared" si="126"/>
        <v>308.63</v>
      </c>
      <c r="N1177" t="str">
        <f t="shared" si="127"/>
        <v>1941-03-08</v>
      </c>
      <c r="O1177">
        <f t="shared" si="128"/>
        <v>71</v>
      </c>
      <c r="P1177" t="str">
        <f t="shared" si="129"/>
        <v>kobieta</v>
      </c>
      <c r="Q1177">
        <f t="shared" si="130"/>
        <v>82</v>
      </c>
      <c r="R1177">
        <f t="shared" si="131"/>
        <v>48</v>
      </c>
      <c r="S1177">
        <f t="shared" ca="1" si="132"/>
        <v>4</v>
      </c>
    </row>
    <row r="1178" spans="1:19">
      <c r="A1178" s="1" t="s">
        <v>19</v>
      </c>
      <c r="B1178" s="2">
        <v>400</v>
      </c>
      <c r="C1178" s="1">
        <v>400</v>
      </c>
      <c r="D1178" s="1" t="s">
        <v>343</v>
      </c>
      <c r="E1178" s="1">
        <v>13</v>
      </c>
      <c r="F1178" s="3">
        <v>850</v>
      </c>
      <c r="G1178" s="1">
        <v>7</v>
      </c>
      <c r="H1178" s="1" t="s">
        <v>2379</v>
      </c>
      <c r="I1178" s="1" t="s">
        <v>345</v>
      </c>
      <c r="J1178" s="1" t="s">
        <v>16</v>
      </c>
      <c r="K1178" s="1" t="s">
        <v>2367</v>
      </c>
      <c r="L1178" s="1" t="s">
        <v>2145</v>
      </c>
      <c r="M1178">
        <f t="shared" si="126"/>
        <v>400</v>
      </c>
      <c r="N1178" t="str">
        <f t="shared" si="127"/>
        <v>1945-10-21</v>
      </c>
      <c r="O1178">
        <f t="shared" si="128"/>
        <v>67</v>
      </c>
      <c r="P1178" t="str">
        <f t="shared" si="129"/>
        <v>kobieta</v>
      </c>
      <c r="Q1178">
        <f t="shared" si="130"/>
        <v>70</v>
      </c>
      <c r="R1178">
        <f t="shared" si="131"/>
        <v>48</v>
      </c>
      <c r="S1178">
        <f t="shared" ca="1" si="132"/>
        <v>4</v>
      </c>
    </row>
    <row r="1179" spans="1:19">
      <c r="A1179" s="1" t="s">
        <v>19</v>
      </c>
      <c r="B1179" s="2">
        <v>200</v>
      </c>
      <c r="C1179" s="1">
        <v>200</v>
      </c>
      <c r="D1179" s="1" t="s">
        <v>612</v>
      </c>
      <c r="E1179" s="1">
        <v>13</v>
      </c>
      <c r="F1179" s="3">
        <v>865</v>
      </c>
      <c r="G1179" s="1">
        <v>8</v>
      </c>
      <c r="H1179" s="1" t="s">
        <v>2380</v>
      </c>
      <c r="I1179" s="1" t="s">
        <v>614</v>
      </c>
      <c r="J1179" s="1" t="s">
        <v>16</v>
      </c>
      <c r="K1179" s="1" t="s">
        <v>2367</v>
      </c>
      <c r="L1179" s="1" t="s">
        <v>2147</v>
      </c>
      <c r="M1179">
        <f t="shared" si="126"/>
        <v>200</v>
      </c>
      <c r="N1179" t="str">
        <f t="shared" si="127"/>
        <v>1941-03-18</v>
      </c>
      <c r="O1179">
        <f t="shared" si="128"/>
        <v>71</v>
      </c>
      <c r="P1179" t="str">
        <f t="shared" si="129"/>
        <v>kobieta</v>
      </c>
      <c r="Q1179">
        <f t="shared" si="130"/>
        <v>131</v>
      </c>
      <c r="R1179">
        <f t="shared" si="131"/>
        <v>48</v>
      </c>
      <c r="S1179">
        <f t="shared" ca="1" si="132"/>
        <v>1</v>
      </c>
    </row>
    <row r="1180" spans="1:19">
      <c r="A1180" s="1" t="s">
        <v>56</v>
      </c>
      <c r="B1180" s="2">
        <v>500</v>
      </c>
      <c r="C1180" s="1">
        <v>200</v>
      </c>
      <c r="D1180" s="1" t="s">
        <v>2381</v>
      </c>
      <c r="E1180" s="1">
        <v>13</v>
      </c>
      <c r="F1180" s="3">
        <v>860</v>
      </c>
      <c r="G1180" s="1">
        <v>0</v>
      </c>
      <c r="H1180" s="1" t="s">
        <v>2382</v>
      </c>
      <c r="I1180" s="1" t="s">
        <v>1137</v>
      </c>
      <c r="J1180" s="1" t="s">
        <v>16</v>
      </c>
      <c r="K1180" s="1" t="s">
        <v>2367</v>
      </c>
      <c r="L1180" s="1" t="s">
        <v>28</v>
      </c>
      <c r="M1180">
        <f t="shared" si="126"/>
        <v>200</v>
      </c>
      <c r="N1180" t="str">
        <f t="shared" si="127"/>
        <v>1937-05-07</v>
      </c>
      <c r="O1180">
        <f t="shared" si="128"/>
        <v>75</v>
      </c>
      <c r="P1180" t="str">
        <f t="shared" si="129"/>
        <v>mężczyzna</v>
      </c>
      <c r="Q1180">
        <f t="shared" si="130"/>
        <v>120</v>
      </c>
      <c r="R1180">
        <f t="shared" si="131"/>
        <v>48</v>
      </c>
      <c r="S1180">
        <f t="shared" ca="1" si="132"/>
        <v>5170</v>
      </c>
    </row>
    <row r="1181" spans="1:19">
      <c r="A1181" s="1" t="s">
        <v>56</v>
      </c>
      <c r="B1181" s="2">
        <v>389.52</v>
      </c>
      <c r="C1181" s="1">
        <v>389.52</v>
      </c>
      <c r="D1181" s="1" t="s">
        <v>1147</v>
      </c>
      <c r="E1181" s="1">
        <v>11</v>
      </c>
      <c r="F1181" s="3">
        <v>1400</v>
      </c>
      <c r="G1181" s="1">
        <v>2</v>
      </c>
      <c r="H1181" s="1" t="s">
        <v>2383</v>
      </c>
      <c r="I1181" s="1" t="s">
        <v>1149</v>
      </c>
      <c r="J1181" s="1" t="s">
        <v>16</v>
      </c>
      <c r="K1181" s="1" t="s">
        <v>2367</v>
      </c>
      <c r="L1181" s="1" t="s">
        <v>28</v>
      </c>
      <c r="M1181">
        <f t="shared" si="126"/>
        <v>389.52</v>
      </c>
      <c r="N1181" t="str">
        <f t="shared" si="127"/>
        <v>1960-05-22</v>
      </c>
      <c r="O1181">
        <f t="shared" si="128"/>
        <v>52</v>
      </c>
      <c r="P1181" t="str">
        <f t="shared" si="129"/>
        <v>mężczyzna</v>
      </c>
      <c r="Q1181">
        <f t="shared" si="130"/>
        <v>42</v>
      </c>
      <c r="R1181">
        <f t="shared" si="131"/>
        <v>48</v>
      </c>
      <c r="S1181">
        <f t="shared" ca="1" si="132"/>
        <v>5170</v>
      </c>
    </row>
    <row r="1182" spans="1:19">
      <c r="A1182" s="1" t="s">
        <v>12</v>
      </c>
      <c r="B1182" s="2">
        <v>1000</v>
      </c>
      <c r="C1182" s="1">
        <v>1000</v>
      </c>
      <c r="D1182" s="1" t="s">
        <v>296</v>
      </c>
      <c r="E1182" s="1">
        <v>11</v>
      </c>
      <c r="F1182" s="3">
        <v>2263</v>
      </c>
      <c r="G1182" s="1">
        <v>0</v>
      </c>
      <c r="H1182" s="1" t="s">
        <v>2384</v>
      </c>
      <c r="I1182" s="1" t="s">
        <v>224</v>
      </c>
      <c r="J1182" s="1" t="s">
        <v>16</v>
      </c>
      <c r="K1182" s="1" t="s">
        <v>2385</v>
      </c>
      <c r="L1182" s="1" t="s">
        <v>2226</v>
      </c>
      <c r="M1182">
        <f t="shared" si="126"/>
        <v>1000</v>
      </c>
      <c r="N1182" t="str">
        <f t="shared" si="127"/>
        <v>1969-10-25</v>
      </c>
      <c r="O1182">
        <f t="shared" si="128"/>
        <v>43</v>
      </c>
      <c r="P1182" t="str">
        <f t="shared" si="129"/>
        <v>mężczyzna</v>
      </c>
      <c r="Q1182">
        <f t="shared" si="130"/>
        <v>78</v>
      </c>
      <c r="R1182">
        <f t="shared" si="131"/>
        <v>48</v>
      </c>
      <c r="S1182">
        <f t="shared" ca="1" si="132"/>
        <v>2</v>
      </c>
    </row>
    <row r="1183" spans="1:19">
      <c r="A1183" s="1" t="s">
        <v>19</v>
      </c>
      <c r="B1183" s="2">
        <v>239.72</v>
      </c>
      <c r="C1183" s="1">
        <v>239.72</v>
      </c>
      <c r="D1183" s="1" t="s">
        <v>1371</v>
      </c>
      <c r="E1183" s="1">
        <v>13</v>
      </c>
      <c r="F1183" s="3">
        <v>1162.4100000000001</v>
      </c>
      <c r="G1183" s="1">
        <v>2</v>
      </c>
      <c r="H1183" s="1" t="s">
        <v>2386</v>
      </c>
      <c r="I1183" s="1" t="s">
        <v>1373</v>
      </c>
      <c r="J1183" s="1" t="s">
        <v>16</v>
      </c>
      <c r="K1183" s="1" t="s">
        <v>2385</v>
      </c>
      <c r="L1183" s="1" t="s">
        <v>2324</v>
      </c>
      <c r="M1183">
        <f t="shared" si="126"/>
        <v>239.72</v>
      </c>
      <c r="N1183" t="str">
        <f t="shared" si="127"/>
        <v>1943-02-21</v>
      </c>
      <c r="O1183">
        <f t="shared" si="128"/>
        <v>69</v>
      </c>
      <c r="P1183" t="str">
        <f t="shared" si="129"/>
        <v>mężczyzna</v>
      </c>
      <c r="Q1183">
        <f t="shared" si="130"/>
        <v>107</v>
      </c>
      <c r="R1183">
        <f t="shared" si="131"/>
        <v>48</v>
      </c>
      <c r="S1183">
        <f t="shared" ca="1" si="132"/>
        <v>0</v>
      </c>
    </row>
    <row r="1184" spans="1:19">
      <c r="A1184" s="1" t="s">
        <v>19</v>
      </c>
      <c r="B1184" s="2">
        <v>384.56</v>
      </c>
      <c r="C1184" s="1">
        <v>384.56</v>
      </c>
      <c r="D1184" s="1" t="s">
        <v>652</v>
      </c>
      <c r="E1184" s="1">
        <v>11</v>
      </c>
      <c r="F1184" s="3">
        <v>1058</v>
      </c>
      <c r="G1184" s="1">
        <v>3</v>
      </c>
      <c r="H1184" s="1" t="s">
        <v>2387</v>
      </c>
      <c r="I1184" s="1" t="s">
        <v>151</v>
      </c>
      <c r="J1184" s="1" t="s">
        <v>16</v>
      </c>
      <c r="K1184" s="1" t="s">
        <v>2385</v>
      </c>
      <c r="L1184" s="1" t="s">
        <v>2226</v>
      </c>
      <c r="M1184">
        <f t="shared" si="126"/>
        <v>384.56</v>
      </c>
      <c r="N1184" t="str">
        <f t="shared" si="127"/>
        <v>1976-10-05</v>
      </c>
      <c r="O1184">
        <f t="shared" si="128"/>
        <v>36</v>
      </c>
      <c r="P1184" t="str">
        <f t="shared" si="129"/>
        <v>mężczyzna</v>
      </c>
      <c r="Q1184">
        <f t="shared" si="130"/>
        <v>17</v>
      </c>
      <c r="R1184">
        <f t="shared" si="131"/>
        <v>48</v>
      </c>
      <c r="S1184">
        <f t="shared" ca="1" si="132"/>
        <v>2</v>
      </c>
    </row>
    <row r="1185" spans="1:19">
      <c r="A1185" s="1" t="s">
        <v>12</v>
      </c>
      <c r="B1185" s="2">
        <v>300</v>
      </c>
      <c r="C1185" s="1">
        <v>300</v>
      </c>
      <c r="D1185" s="1" t="s">
        <v>1961</v>
      </c>
      <c r="E1185" s="1">
        <v>13</v>
      </c>
      <c r="F1185" s="3">
        <v>1374</v>
      </c>
      <c r="G1185" s="1">
        <v>1</v>
      </c>
      <c r="H1185" s="1" t="s">
        <v>2388</v>
      </c>
      <c r="I1185" s="1" t="s">
        <v>1844</v>
      </c>
      <c r="J1185" s="1" t="s">
        <v>16</v>
      </c>
      <c r="K1185" s="1" t="s">
        <v>2385</v>
      </c>
      <c r="L1185" s="1" t="s">
        <v>2350</v>
      </c>
      <c r="M1185">
        <f t="shared" si="126"/>
        <v>300</v>
      </c>
      <c r="N1185" t="str">
        <f t="shared" si="127"/>
        <v>1950-01-02</v>
      </c>
      <c r="O1185">
        <f t="shared" si="128"/>
        <v>62</v>
      </c>
      <c r="P1185" t="str">
        <f t="shared" si="129"/>
        <v>kobieta</v>
      </c>
      <c r="Q1185">
        <f t="shared" si="130"/>
        <v>49</v>
      </c>
      <c r="R1185">
        <f t="shared" si="131"/>
        <v>48</v>
      </c>
      <c r="S1185">
        <f t="shared" ca="1" si="132"/>
        <v>6</v>
      </c>
    </row>
    <row r="1186" spans="1:19">
      <c r="A1186" s="1" t="s">
        <v>19</v>
      </c>
      <c r="B1186" s="2">
        <v>300</v>
      </c>
      <c r="C1186" s="1">
        <v>300</v>
      </c>
      <c r="D1186" s="1" t="s">
        <v>1199</v>
      </c>
      <c r="E1186" s="1">
        <v>11</v>
      </c>
      <c r="F1186" s="3">
        <v>1590</v>
      </c>
      <c r="G1186" s="1">
        <v>2</v>
      </c>
      <c r="H1186" s="1" t="s">
        <v>2389</v>
      </c>
      <c r="I1186" s="1" t="s">
        <v>1201</v>
      </c>
      <c r="J1186" s="1" t="s">
        <v>16</v>
      </c>
      <c r="K1186" s="1" t="s">
        <v>2385</v>
      </c>
      <c r="L1186" s="1" t="s">
        <v>2324</v>
      </c>
      <c r="M1186">
        <f t="shared" si="126"/>
        <v>300</v>
      </c>
      <c r="N1186" t="str">
        <f t="shared" si="127"/>
        <v>1982-12-12</v>
      </c>
      <c r="O1186">
        <f t="shared" si="128"/>
        <v>30</v>
      </c>
      <c r="P1186" t="str">
        <f t="shared" si="129"/>
        <v>mężczyzna</v>
      </c>
      <c r="Q1186">
        <f t="shared" si="130"/>
        <v>56</v>
      </c>
      <c r="R1186">
        <f t="shared" si="131"/>
        <v>48</v>
      </c>
      <c r="S1186">
        <f t="shared" ca="1" si="132"/>
        <v>0</v>
      </c>
    </row>
    <row r="1187" spans="1:19">
      <c r="A1187" s="1" t="s">
        <v>19</v>
      </c>
      <c r="B1187" s="2">
        <v>489.57</v>
      </c>
      <c r="C1187" s="1">
        <v>489.57</v>
      </c>
      <c r="D1187" s="1" t="s">
        <v>1304</v>
      </c>
      <c r="E1187" s="1">
        <v>13</v>
      </c>
      <c r="F1187" s="3">
        <v>1500</v>
      </c>
      <c r="G1187" s="1">
        <v>2</v>
      </c>
      <c r="H1187" s="1" t="s">
        <v>2390</v>
      </c>
      <c r="I1187" s="1" t="s">
        <v>1306</v>
      </c>
      <c r="J1187" s="1" t="s">
        <v>16</v>
      </c>
      <c r="K1187" s="1" t="s">
        <v>2385</v>
      </c>
      <c r="L1187" s="1" t="s">
        <v>2161</v>
      </c>
      <c r="M1187">
        <f t="shared" si="126"/>
        <v>489.57</v>
      </c>
      <c r="N1187" t="str">
        <f t="shared" si="127"/>
        <v>1964-11-11</v>
      </c>
      <c r="O1187">
        <f t="shared" si="128"/>
        <v>48</v>
      </c>
      <c r="P1187" t="str">
        <f t="shared" si="129"/>
        <v>mężczyzna</v>
      </c>
      <c r="Q1187">
        <f t="shared" si="130"/>
        <v>89</v>
      </c>
      <c r="R1187">
        <f t="shared" si="131"/>
        <v>48</v>
      </c>
      <c r="S1187">
        <f t="shared" ca="1" si="132"/>
        <v>0</v>
      </c>
    </row>
    <row r="1188" spans="1:19">
      <c r="A1188" s="1" t="s">
        <v>56</v>
      </c>
      <c r="B1188" s="2">
        <v>500</v>
      </c>
      <c r="C1188" s="1">
        <v>500</v>
      </c>
      <c r="D1188" s="1" t="s">
        <v>639</v>
      </c>
      <c r="E1188" s="1">
        <v>11</v>
      </c>
      <c r="F1188" s="3">
        <v>2100</v>
      </c>
      <c r="G1188" s="1">
        <v>7</v>
      </c>
      <c r="H1188" s="1" t="s">
        <v>2391</v>
      </c>
      <c r="I1188" s="1" t="s">
        <v>641</v>
      </c>
      <c r="J1188" s="1" t="s">
        <v>16</v>
      </c>
      <c r="K1188" s="1" t="s">
        <v>2385</v>
      </c>
      <c r="L1188" s="1" t="s">
        <v>28</v>
      </c>
      <c r="M1188">
        <f t="shared" si="126"/>
        <v>500</v>
      </c>
      <c r="N1188" t="str">
        <f t="shared" si="127"/>
        <v>1951-08-31</v>
      </c>
      <c r="O1188">
        <f t="shared" si="128"/>
        <v>61</v>
      </c>
      <c r="P1188" t="str">
        <f t="shared" si="129"/>
        <v>mężczyzna</v>
      </c>
      <c r="Q1188">
        <f t="shared" si="130"/>
        <v>190</v>
      </c>
      <c r="R1188">
        <f t="shared" si="131"/>
        <v>48</v>
      </c>
      <c r="S1188">
        <f t="shared" ca="1" si="132"/>
        <v>5169</v>
      </c>
    </row>
    <row r="1189" spans="1:19">
      <c r="A1189" s="1" t="s">
        <v>12</v>
      </c>
      <c r="B1189" s="2">
        <v>200</v>
      </c>
      <c r="C1189" s="1">
        <v>200</v>
      </c>
      <c r="D1189" s="1" t="s">
        <v>1882</v>
      </c>
      <c r="E1189" s="1">
        <v>13</v>
      </c>
      <c r="F1189" s="3">
        <v>744.07</v>
      </c>
      <c r="G1189" s="1">
        <v>1</v>
      </c>
      <c r="H1189" s="1" t="s">
        <v>2392</v>
      </c>
      <c r="I1189" s="1" t="s">
        <v>1884</v>
      </c>
      <c r="J1189" s="1" t="s">
        <v>16</v>
      </c>
      <c r="K1189" s="1" t="s">
        <v>2385</v>
      </c>
      <c r="L1189" s="1" t="s">
        <v>2393</v>
      </c>
      <c r="M1189">
        <f t="shared" si="126"/>
        <v>200</v>
      </c>
      <c r="N1189" t="str">
        <f t="shared" si="127"/>
        <v>1950-10-30</v>
      </c>
      <c r="O1189">
        <f t="shared" si="128"/>
        <v>62</v>
      </c>
      <c r="P1189" t="str">
        <f t="shared" si="129"/>
        <v>kobieta</v>
      </c>
      <c r="Q1189">
        <f t="shared" si="130"/>
        <v>16</v>
      </c>
      <c r="R1189">
        <f t="shared" si="131"/>
        <v>48</v>
      </c>
      <c r="S1189">
        <f t="shared" ca="1" si="132"/>
        <v>10</v>
      </c>
    </row>
    <row r="1190" spans="1:19">
      <c r="A1190" s="1" t="s">
        <v>12</v>
      </c>
      <c r="B1190" s="2">
        <v>560.67999999999995</v>
      </c>
      <c r="C1190" s="1">
        <v>560.67999999999995</v>
      </c>
      <c r="D1190" s="1" t="s">
        <v>323</v>
      </c>
      <c r="E1190" s="1">
        <v>13</v>
      </c>
      <c r="F1190" s="3">
        <v>1801.41</v>
      </c>
      <c r="G1190" s="1">
        <v>3</v>
      </c>
      <c r="H1190" s="1" t="s">
        <v>2394</v>
      </c>
      <c r="I1190" s="1" t="s">
        <v>325</v>
      </c>
      <c r="J1190" s="1" t="s">
        <v>16</v>
      </c>
      <c r="K1190" s="1" t="s">
        <v>2385</v>
      </c>
      <c r="L1190" s="1" t="s">
        <v>2261</v>
      </c>
      <c r="M1190">
        <f t="shared" si="126"/>
        <v>560.67999999999995</v>
      </c>
      <c r="N1190" t="str">
        <f t="shared" si="127"/>
        <v>1953-02-06</v>
      </c>
      <c r="O1190">
        <f t="shared" si="128"/>
        <v>59</v>
      </c>
      <c r="P1190" t="str">
        <f t="shared" si="129"/>
        <v>kobieta</v>
      </c>
      <c r="Q1190">
        <f t="shared" si="130"/>
        <v>41</v>
      </c>
      <c r="R1190">
        <f t="shared" si="131"/>
        <v>48</v>
      </c>
      <c r="S1190">
        <f t="shared" ca="1" si="132"/>
        <v>9</v>
      </c>
    </row>
    <row r="1191" spans="1:19">
      <c r="A1191" s="1" t="s">
        <v>19</v>
      </c>
      <c r="B1191" s="2">
        <v>300</v>
      </c>
      <c r="C1191" s="1">
        <v>300</v>
      </c>
      <c r="D1191" s="1" t="s">
        <v>122</v>
      </c>
      <c r="E1191" s="1">
        <v>13</v>
      </c>
      <c r="F1191" s="3">
        <v>1014</v>
      </c>
      <c r="G1191" s="1">
        <v>2</v>
      </c>
      <c r="H1191" s="1" t="s">
        <v>2395</v>
      </c>
      <c r="I1191" s="1" t="s">
        <v>124</v>
      </c>
      <c r="J1191" s="1" t="s">
        <v>16</v>
      </c>
      <c r="K1191" s="1" t="s">
        <v>2385</v>
      </c>
      <c r="L1191" s="1" t="s">
        <v>2261</v>
      </c>
      <c r="M1191">
        <f t="shared" si="126"/>
        <v>300</v>
      </c>
      <c r="N1191" t="str">
        <f t="shared" si="127"/>
        <v>1948-02-07</v>
      </c>
      <c r="O1191">
        <f t="shared" si="128"/>
        <v>64</v>
      </c>
      <c r="P1191" t="str">
        <f t="shared" si="129"/>
        <v>kobieta</v>
      </c>
      <c r="Q1191">
        <f t="shared" si="130"/>
        <v>186</v>
      </c>
      <c r="R1191">
        <f t="shared" si="131"/>
        <v>48</v>
      </c>
      <c r="S1191">
        <f t="shared" ca="1" si="132"/>
        <v>9</v>
      </c>
    </row>
    <row r="1192" spans="1:19">
      <c r="A1192" s="1" t="s">
        <v>19</v>
      </c>
      <c r="B1192" s="2">
        <v>830</v>
      </c>
      <c r="C1192" s="1">
        <v>830</v>
      </c>
      <c r="D1192" s="1" t="s">
        <v>596</v>
      </c>
      <c r="E1192" s="1">
        <v>13</v>
      </c>
      <c r="F1192" s="3">
        <v>1400</v>
      </c>
      <c r="G1192" s="1">
        <v>3</v>
      </c>
      <c r="H1192" s="1" t="s">
        <v>2396</v>
      </c>
      <c r="I1192" s="1" t="s">
        <v>136</v>
      </c>
      <c r="J1192" s="1" t="s">
        <v>16</v>
      </c>
      <c r="K1192" s="1" t="s">
        <v>2385</v>
      </c>
      <c r="L1192" s="1" t="s">
        <v>2350</v>
      </c>
      <c r="M1192">
        <f t="shared" si="126"/>
        <v>830</v>
      </c>
      <c r="N1192" t="str">
        <f t="shared" si="127"/>
        <v>1952-03-12</v>
      </c>
      <c r="O1192">
        <f t="shared" si="128"/>
        <v>60</v>
      </c>
      <c r="P1192" t="str">
        <f t="shared" si="129"/>
        <v>kobieta</v>
      </c>
      <c r="Q1192">
        <f t="shared" si="130"/>
        <v>249</v>
      </c>
      <c r="R1192">
        <f t="shared" si="131"/>
        <v>48</v>
      </c>
      <c r="S1192">
        <f t="shared" ca="1" si="132"/>
        <v>6</v>
      </c>
    </row>
    <row r="1193" spans="1:19">
      <c r="A1193" s="1" t="s">
        <v>12</v>
      </c>
      <c r="B1193" s="2">
        <v>200</v>
      </c>
      <c r="C1193" s="1">
        <v>200</v>
      </c>
      <c r="D1193" s="1" t="s">
        <v>286</v>
      </c>
      <c r="E1193" s="1">
        <v>11</v>
      </c>
      <c r="F1193" s="3">
        <v>1300</v>
      </c>
      <c r="G1193" s="1">
        <v>0</v>
      </c>
      <c r="H1193" s="1" t="s">
        <v>2397</v>
      </c>
      <c r="I1193" s="1" t="s">
        <v>288</v>
      </c>
      <c r="J1193" s="1" t="s">
        <v>16</v>
      </c>
      <c r="K1193" s="1" t="s">
        <v>2385</v>
      </c>
      <c r="L1193" s="1" t="s">
        <v>2110</v>
      </c>
      <c r="M1193">
        <f t="shared" si="126"/>
        <v>200</v>
      </c>
      <c r="N1193" t="str">
        <f t="shared" si="127"/>
        <v>1958-12-16</v>
      </c>
      <c r="O1193">
        <f t="shared" si="128"/>
        <v>54</v>
      </c>
      <c r="P1193" t="str">
        <f t="shared" si="129"/>
        <v>mężczyzna</v>
      </c>
      <c r="Q1193">
        <f t="shared" si="130"/>
        <v>455</v>
      </c>
      <c r="R1193">
        <f t="shared" si="131"/>
        <v>48</v>
      </c>
      <c r="S1193">
        <f t="shared" ca="1" si="132"/>
        <v>0</v>
      </c>
    </row>
    <row r="1194" spans="1:19">
      <c r="A1194" s="1" t="s">
        <v>12</v>
      </c>
      <c r="B1194" s="2">
        <v>300</v>
      </c>
      <c r="C1194" s="1">
        <v>300</v>
      </c>
      <c r="D1194" s="1" t="s">
        <v>140</v>
      </c>
      <c r="E1194" s="1">
        <v>12</v>
      </c>
      <c r="F1194" s="3">
        <v>952.89</v>
      </c>
      <c r="G1194" s="1">
        <v>3</v>
      </c>
      <c r="H1194" s="1" t="s">
        <v>2398</v>
      </c>
      <c r="I1194" s="1" t="s">
        <v>142</v>
      </c>
      <c r="J1194" s="1" t="s">
        <v>90</v>
      </c>
      <c r="K1194" s="1" t="s">
        <v>2385</v>
      </c>
      <c r="L1194" s="1" t="s">
        <v>2130</v>
      </c>
      <c r="M1194">
        <f t="shared" si="126"/>
        <v>300</v>
      </c>
      <c r="N1194" t="str">
        <f t="shared" si="127"/>
        <v>1990-05-21</v>
      </c>
      <c r="O1194">
        <f t="shared" si="128"/>
        <v>22</v>
      </c>
      <c r="P1194" t="str">
        <f t="shared" si="129"/>
        <v>mężczyzna</v>
      </c>
      <c r="Q1194">
        <f t="shared" si="130"/>
        <v>26</v>
      </c>
      <c r="R1194">
        <f t="shared" si="131"/>
        <v>0</v>
      </c>
      <c r="S1194">
        <f t="shared" ca="1" si="132"/>
        <v>0</v>
      </c>
    </row>
    <row r="1195" spans="1:19">
      <c r="A1195" s="1" t="s">
        <v>19</v>
      </c>
      <c r="B1195" s="2">
        <v>500</v>
      </c>
      <c r="C1195" s="1">
        <v>500</v>
      </c>
      <c r="D1195" s="1" t="s">
        <v>1157</v>
      </c>
      <c r="E1195" s="1">
        <v>13</v>
      </c>
      <c r="F1195" s="3">
        <v>1200</v>
      </c>
      <c r="G1195" s="1">
        <v>7</v>
      </c>
      <c r="H1195" s="1" t="s">
        <v>2399</v>
      </c>
      <c r="I1195" s="1" t="s">
        <v>1159</v>
      </c>
      <c r="J1195" s="1" t="s">
        <v>16</v>
      </c>
      <c r="K1195" s="1" t="s">
        <v>2385</v>
      </c>
      <c r="L1195" s="1" t="s">
        <v>2234</v>
      </c>
      <c r="M1195">
        <f t="shared" si="126"/>
        <v>500</v>
      </c>
      <c r="N1195" t="str">
        <f t="shared" si="127"/>
        <v>1941-02-15</v>
      </c>
      <c r="O1195">
        <f t="shared" si="128"/>
        <v>71</v>
      </c>
      <c r="P1195" t="str">
        <f t="shared" si="129"/>
        <v>kobieta</v>
      </c>
      <c r="Q1195">
        <f t="shared" si="130"/>
        <v>122</v>
      </c>
      <c r="R1195">
        <f t="shared" si="131"/>
        <v>48</v>
      </c>
      <c r="S1195">
        <f t="shared" ca="1" si="132"/>
        <v>4</v>
      </c>
    </row>
    <row r="1196" spans="1:19">
      <c r="A1196" s="1" t="s">
        <v>19</v>
      </c>
      <c r="B1196" s="2">
        <v>200</v>
      </c>
      <c r="C1196" s="1">
        <v>200</v>
      </c>
      <c r="D1196" s="1" t="s">
        <v>1157</v>
      </c>
      <c r="E1196" s="1">
        <v>13</v>
      </c>
      <c r="F1196" s="3">
        <v>1200</v>
      </c>
      <c r="G1196" s="1">
        <v>1</v>
      </c>
      <c r="H1196" s="1" t="s">
        <v>2400</v>
      </c>
      <c r="I1196" s="1" t="s">
        <v>1159</v>
      </c>
      <c r="J1196" s="1" t="s">
        <v>16</v>
      </c>
      <c r="K1196" s="1" t="s">
        <v>2385</v>
      </c>
      <c r="L1196" s="1" t="s">
        <v>2234</v>
      </c>
      <c r="M1196">
        <f t="shared" si="126"/>
        <v>200</v>
      </c>
      <c r="N1196" t="str">
        <f t="shared" si="127"/>
        <v>1941-02-15</v>
      </c>
      <c r="O1196">
        <f t="shared" si="128"/>
        <v>71</v>
      </c>
      <c r="P1196" t="str">
        <f t="shared" si="129"/>
        <v>kobieta</v>
      </c>
      <c r="Q1196">
        <f t="shared" si="130"/>
        <v>122</v>
      </c>
      <c r="R1196">
        <f t="shared" si="131"/>
        <v>48</v>
      </c>
      <c r="S1196">
        <f t="shared" ca="1" si="132"/>
        <v>4</v>
      </c>
    </row>
    <row r="1197" spans="1:19">
      <c r="A1197" s="1" t="s">
        <v>19</v>
      </c>
      <c r="B1197" s="2">
        <v>600</v>
      </c>
      <c r="C1197" s="1">
        <v>600</v>
      </c>
      <c r="D1197" s="1" t="s">
        <v>1444</v>
      </c>
      <c r="E1197" s="1">
        <v>13</v>
      </c>
      <c r="F1197" s="3">
        <v>2547</v>
      </c>
      <c r="G1197" s="1">
        <v>2</v>
      </c>
      <c r="H1197" s="1" t="s">
        <v>2401</v>
      </c>
      <c r="I1197" s="1" t="s">
        <v>1446</v>
      </c>
      <c r="J1197" s="1" t="s">
        <v>16</v>
      </c>
      <c r="K1197" s="1" t="s">
        <v>2385</v>
      </c>
      <c r="L1197" s="1" t="s">
        <v>2324</v>
      </c>
      <c r="M1197">
        <f t="shared" si="126"/>
        <v>600</v>
      </c>
      <c r="N1197" t="str">
        <f t="shared" si="127"/>
        <v>1931-01-25</v>
      </c>
      <c r="O1197">
        <f t="shared" si="128"/>
        <v>81</v>
      </c>
      <c r="P1197" t="str">
        <f t="shared" si="129"/>
        <v>mężczyzna</v>
      </c>
      <c r="Q1197">
        <f t="shared" si="130"/>
        <v>198</v>
      </c>
      <c r="R1197">
        <f t="shared" si="131"/>
        <v>48</v>
      </c>
      <c r="S1197">
        <f t="shared" ca="1" si="132"/>
        <v>0</v>
      </c>
    </row>
    <row r="1198" spans="1:19">
      <c r="A1198" s="1" t="s">
        <v>12</v>
      </c>
      <c r="B1198" s="2">
        <v>700</v>
      </c>
      <c r="C1198" s="1">
        <v>500</v>
      </c>
      <c r="D1198" s="1" t="s">
        <v>2402</v>
      </c>
      <c r="E1198" s="1">
        <v>11</v>
      </c>
      <c r="F1198" s="3">
        <v>2300</v>
      </c>
      <c r="G1198" s="1">
        <v>0</v>
      </c>
      <c r="H1198" s="1" t="s">
        <v>2403</v>
      </c>
      <c r="I1198" s="1" t="s">
        <v>694</v>
      </c>
      <c r="J1198" s="1" t="s">
        <v>16</v>
      </c>
      <c r="K1198" s="1" t="s">
        <v>2385</v>
      </c>
      <c r="L1198" s="1" t="s">
        <v>2226</v>
      </c>
      <c r="M1198">
        <f t="shared" si="126"/>
        <v>500</v>
      </c>
      <c r="N1198" t="str">
        <f t="shared" si="127"/>
        <v>1952-03-08</v>
      </c>
      <c r="O1198">
        <f t="shared" si="128"/>
        <v>60</v>
      </c>
      <c r="P1198" t="str">
        <f t="shared" si="129"/>
        <v>mężczyzna</v>
      </c>
      <c r="Q1198">
        <f t="shared" si="130"/>
        <v>75</v>
      </c>
      <c r="R1198">
        <f t="shared" si="131"/>
        <v>48</v>
      </c>
      <c r="S1198">
        <f t="shared" ca="1" si="132"/>
        <v>2</v>
      </c>
    </row>
    <row r="1199" spans="1:19">
      <c r="A1199" s="1" t="s">
        <v>19</v>
      </c>
      <c r="B1199" s="2">
        <v>326.67</v>
      </c>
      <c r="C1199" s="1">
        <v>326.67</v>
      </c>
      <c r="D1199" s="1" t="s">
        <v>601</v>
      </c>
      <c r="E1199" s="1">
        <v>13</v>
      </c>
      <c r="F1199" s="3">
        <v>1668</v>
      </c>
      <c r="G1199" s="1">
        <v>8</v>
      </c>
      <c r="H1199" s="1" t="s">
        <v>2404</v>
      </c>
      <c r="I1199" s="1" t="s">
        <v>242</v>
      </c>
      <c r="J1199" s="1" t="s">
        <v>16</v>
      </c>
      <c r="K1199" s="1" t="s">
        <v>2405</v>
      </c>
      <c r="L1199" s="1" t="s">
        <v>2147</v>
      </c>
      <c r="M1199">
        <f t="shared" si="126"/>
        <v>326.67</v>
      </c>
      <c r="N1199" t="str">
        <f t="shared" si="127"/>
        <v>1948-07-31</v>
      </c>
      <c r="O1199">
        <f t="shared" si="128"/>
        <v>64</v>
      </c>
      <c r="P1199" t="str">
        <f t="shared" si="129"/>
        <v>kobieta</v>
      </c>
      <c r="Q1199">
        <f t="shared" si="130"/>
        <v>94</v>
      </c>
      <c r="R1199">
        <f t="shared" si="131"/>
        <v>48</v>
      </c>
      <c r="S1199">
        <f t="shared" ca="1" si="132"/>
        <v>0</v>
      </c>
    </row>
    <row r="1200" spans="1:19">
      <c r="A1200" s="1" t="s">
        <v>12</v>
      </c>
      <c r="B1200" s="2">
        <v>500</v>
      </c>
      <c r="C1200" s="1">
        <v>500</v>
      </c>
      <c r="D1200" s="1" t="s">
        <v>1894</v>
      </c>
      <c r="E1200" s="1">
        <v>13</v>
      </c>
      <c r="F1200" s="3">
        <v>1553</v>
      </c>
      <c r="G1200" s="1">
        <v>1</v>
      </c>
      <c r="H1200" s="1" t="s">
        <v>2406</v>
      </c>
      <c r="I1200" s="1" t="s">
        <v>1896</v>
      </c>
      <c r="J1200" s="1" t="s">
        <v>16</v>
      </c>
      <c r="K1200" s="1" t="s">
        <v>2405</v>
      </c>
      <c r="L1200" s="1" t="s">
        <v>2119</v>
      </c>
      <c r="M1200">
        <f t="shared" si="126"/>
        <v>500</v>
      </c>
      <c r="N1200" t="str">
        <f t="shared" si="127"/>
        <v>1955-03-15</v>
      </c>
      <c r="O1200">
        <f t="shared" si="128"/>
        <v>57</v>
      </c>
      <c r="P1200" t="str">
        <f t="shared" si="129"/>
        <v>mężczyzna</v>
      </c>
      <c r="Q1200">
        <f t="shared" si="130"/>
        <v>112</v>
      </c>
      <c r="R1200">
        <f t="shared" si="131"/>
        <v>48</v>
      </c>
      <c r="S1200">
        <f t="shared" ca="1" si="132"/>
        <v>0</v>
      </c>
    </row>
    <row r="1201" spans="1:19">
      <c r="A1201" s="1" t="s">
        <v>19</v>
      </c>
      <c r="B1201" s="2">
        <v>200</v>
      </c>
      <c r="C1201" s="1">
        <v>200</v>
      </c>
      <c r="D1201" s="1" t="s">
        <v>528</v>
      </c>
      <c r="E1201" s="1">
        <v>17</v>
      </c>
      <c r="F1201" s="3">
        <v>728</v>
      </c>
      <c r="G1201" s="1">
        <v>8</v>
      </c>
      <c r="H1201" s="1" t="s">
        <v>2407</v>
      </c>
      <c r="I1201" s="1" t="s">
        <v>530</v>
      </c>
      <c r="J1201" s="1" t="s">
        <v>531</v>
      </c>
      <c r="K1201" s="1" t="s">
        <v>2405</v>
      </c>
      <c r="L1201" s="1" t="s">
        <v>2226</v>
      </c>
      <c r="M1201">
        <f t="shared" si="126"/>
        <v>200</v>
      </c>
      <c r="N1201" t="str">
        <f t="shared" si="127"/>
        <v>1984-09-24</v>
      </c>
      <c r="O1201">
        <f t="shared" si="128"/>
        <v>28</v>
      </c>
      <c r="P1201" t="str">
        <f t="shared" si="129"/>
        <v>mężczyzna</v>
      </c>
      <c r="Q1201">
        <f t="shared" si="130"/>
        <v>103</v>
      </c>
      <c r="R1201">
        <f t="shared" si="131"/>
        <v>27</v>
      </c>
      <c r="S1201">
        <f t="shared" ca="1" si="132"/>
        <v>0</v>
      </c>
    </row>
    <row r="1202" spans="1:19">
      <c r="A1202" s="1" t="s">
        <v>12</v>
      </c>
      <c r="B1202" s="2">
        <v>400</v>
      </c>
      <c r="C1202" s="1">
        <v>400</v>
      </c>
      <c r="D1202" s="1" t="s">
        <v>2408</v>
      </c>
      <c r="E1202" s="1">
        <v>13</v>
      </c>
      <c r="F1202" s="3">
        <v>3900</v>
      </c>
      <c r="G1202" s="1">
        <v>0</v>
      </c>
      <c r="H1202" s="1" t="s">
        <v>2409</v>
      </c>
      <c r="I1202" s="1" t="s">
        <v>1747</v>
      </c>
      <c r="J1202" s="1" t="s">
        <v>16</v>
      </c>
      <c r="K1202" s="1" t="s">
        <v>2405</v>
      </c>
      <c r="L1202" s="1" t="s">
        <v>2119</v>
      </c>
      <c r="M1202">
        <f t="shared" si="126"/>
        <v>400</v>
      </c>
      <c r="N1202" t="str">
        <f t="shared" si="127"/>
        <v>1948-07-21</v>
      </c>
      <c r="O1202">
        <f t="shared" si="128"/>
        <v>64</v>
      </c>
      <c r="P1202" t="str">
        <f t="shared" si="129"/>
        <v>mężczyzna</v>
      </c>
      <c r="Q1202">
        <f t="shared" si="130"/>
        <v>37</v>
      </c>
      <c r="R1202">
        <f t="shared" si="131"/>
        <v>48</v>
      </c>
      <c r="S1202">
        <f t="shared" ca="1" si="132"/>
        <v>0</v>
      </c>
    </row>
    <row r="1203" spans="1:19">
      <c r="A1203" s="1" t="s">
        <v>19</v>
      </c>
      <c r="B1203" s="2">
        <v>300</v>
      </c>
      <c r="C1203" s="1">
        <v>200</v>
      </c>
      <c r="D1203" s="1" t="s">
        <v>2410</v>
      </c>
      <c r="E1203" s="1">
        <v>13</v>
      </c>
      <c r="F1203" s="3">
        <v>1000</v>
      </c>
      <c r="G1203" s="1">
        <v>0</v>
      </c>
      <c r="H1203" s="1" t="s">
        <v>2411</v>
      </c>
      <c r="I1203" s="1" t="s">
        <v>2412</v>
      </c>
      <c r="J1203" s="1" t="s">
        <v>16</v>
      </c>
      <c r="K1203" s="1" t="s">
        <v>2405</v>
      </c>
      <c r="L1203" s="1" t="s">
        <v>1381</v>
      </c>
      <c r="M1203">
        <f t="shared" si="126"/>
        <v>200</v>
      </c>
      <c r="N1203" t="str">
        <f t="shared" si="127"/>
        <v>1952-09-05</v>
      </c>
      <c r="O1203">
        <f t="shared" si="128"/>
        <v>60</v>
      </c>
      <c r="P1203" t="str">
        <f t="shared" si="129"/>
        <v>kobieta</v>
      </c>
      <c r="Q1203">
        <f t="shared" si="130"/>
        <v>60</v>
      </c>
      <c r="R1203">
        <f t="shared" si="131"/>
        <v>48</v>
      </c>
      <c r="S1203">
        <f t="shared" ca="1" si="132"/>
        <v>9</v>
      </c>
    </row>
    <row r="1204" spans="1:19">
      <c r="A1204" s="1" t="s">
        <v>56</v>
      </c>
      <c r="B1204" s="2">
        <v>200</v>
      </c>
      <c r="C1204" s="1">
        <v>200</v>
      </c>
      <c r="D1204" s="1" t="s">
        <v>267</v>
      </c>
      <c r="E1204" s="1">
        <v>13</v>
      </c>
      <c r="F1204" s="3">
        <v>1700</v>
      </c>
      <c r="G1204" s="1">
        <v>0</v>
      </c>
      <c r="H1204" s="1" t="s">
        <v>2413</v>
      </c>
      <c r="I1204" s="1" t="s">
        <v>15</v>
      </c>
      <c r="J1204" s="1" t="s">
        <v>16</v>
      </c>
      <c r="K1204" s="1" t="s">
        <v>2405</v>
      </c>
      <c r="L1204" s="1" t="s">
        <v>28</v>
      </c>
      <c r="M1204">
        <f t="shared" si="126"/>
        <v>200</v>
      </c>
      <c r="N1204" t="str">
        <f t="shared" si="127"/>
        <v>1939-10-16</v>
      </c>
      <c r="O1204">
        <f t="shared" si="128"/>
        <v>73</v>
      </c>
      <c r="P1204" t="str">
        <f t="shared" si="129"/>
        <v>mężczyzna</v>
      </c>
      <c r="Q1204">
        <f t="shared" si="130"/>
        <v>17</v>
      </c>
      <c r="R1204">
        <f t="shared" si="131"/>
        <v>48</v>
      </c>
      <c r="S1204">
        <f t="shared" ca="1" si="132"/>
        <v>5167</v>
      </c>
    </row>
    <row r="1205" spans="1:19">
      <c r="A1205" s="1" t="s">
        <v>19</v>
      </c>
      <c r="B1205" s="2">
        <v>600</v>
      </c>
      <c r="C1205" s="1">
        <v>450</v>
      </c>
      <c r="D1205" s="1" t="s">
        <v>718</v>
      </c>
      <c r="E1205" s="1">
        <v>11</v>
      </c>
      <c r="F1205" s="3">
        <v>2300</v>
      </c>
      <c r="G1205" s="1">
        <v>0</v>
      </c>
      <c r="H1205" s="1" t="s">
        <v>2414</v>
      </c>
      <c r="I1205" s="1" t="s">
        <v>720</v>
      </c>
      <c r="J1205" s="1" t="s">
        <v>16</v>
      </c>
      <c r="K1205" s="1" t="s">
        <v>2405</v>
      </c>
      <c r="L1205" s="1" t="s">
        <v>2119</v>
      </c>
      <c r="M1205">
        <f t="shared" si="126"/>
        <v>450</v>
      </c>
      <c r="N1205" t="str">
        <f t="shared" si="127"/>
        <v>1965-03-18</v>
      </c>
      <c r="O1205">
        <f t="shared" si="128"/>
        <v>47</v>
      </c>
      <c r="P1205" t="str">
        <f t="shared" si="129"/>
        <v>mężczyzna</v>
      </c>
      <c r="Q1205">
        <f t="shared" si="130"/>
        <v>123</v>
      </c>
      <c r="R1205">
        <f t="shared" si="131"/>
        <v>48</v>
      </c>
      <c r="S1205">
        <f t="shared" ca="1" si="132"/>
        <v>0</v>
      </c>
    </row>
    <row r="1206" spans="1:19">
      <c r="A1206" s="1" t="s">
        <v>19</v>
      </c>
      <c r="B1206" s="2">
        <v>299.14999999999998</v>
      </c>
      <c r="C1206" s="1">
        <v>299.14999999999998</v>
      </c>
      <c r="D1206" s="1" t="s">
        <v>713</v>
      </c>
      <c r="E1206" s="1">
        <v>11</v>
      </c>
      <c r="F1206" s="3">
        <v>1400</v>
      </c>
      <c r="G1206" s="1">
        <v>4</v>
      </c>
      <c r="H1206" s="1" t="s">
        <v>2415</v>
      </c>
      <c r="I1206" s="1" t="s">
        <v>234</v>
      </c>
      <c r="J1206" s="1" t="s">
        <v>16</v>
      </c>
      <c r="K1206" s="1" t="s">
        <v>2405</v>
      </c>
      <c r="L1206" s="1" t="s">
        <v>2226</v>
      </c>
      <c r="M1206">
        <f t="shared" si="126"/>
        <v>299.14999999999998</v>
      </c>
      <c r="N1206" t="str">
        <f t="shared" si="127"/>
        <v>1959-07-27</v>
      </c>
      <c r="O1206">
        <f t="shared" si="128"/>
        <v>53</v>
      </c>
      <c r="P1206" t="str">
        <f t="shared" si="129"/>
        <v>kobieta</v>
      </c>
      <c r="Q1206">
        <f t="shared" si="130"/>
        <v>164</v>
      </c>
      <c r="R1206">
        <f t="shared" si="131"/>
        <v>48</v>
      </c>
      <c r="S1206">
        <f t="shared" ca="1" si="132"/>
        <v>0</v>
      </c>
    </row>
    <row r="1207" spans="1:19">
      <c r="A1207" s="1" t="s">
        <v>19</v>
      </c>
      <c r="B1207" s="2">
        <v>200</v>
      </c>
      <c r="C1207" s="1">
        <v>200</v>
      </c>
      <c r="D1207" s="1" t="s">
        <v>314</v>
      </c>
      <c r="E1207" s="1">
        <v>11</v>
      </c>
      <c r="F1207" s="3">
        <v>2094.17</v>
      </c>
      <c r="G1207" s="1">
        <v>4</v>
      </c>
      <c r="H1207" s="1" t="s">
        <v>2416</v>
      </c>
      <c r="I1207" s="1" t="s">
        <v>316</v>
      </c>
      <c r="J1207" s="1" t="s">
        <v>16</v>
      </c>
      <c r="K1207" s="1" t="s">
        <v>2405</v>
      </c>
      <c r="L1207" s="1" t="s">
        <v>2145</v>
      </c>
      <c r="M1207">
        <f t="shared" si="126"/>
        <v>200</v>
      </c>
      <c r="N1207" t="str">
        <f t="shared" si="127"/>
        <v>1958-03-18</v>
      </c>
      <c r="O1207">
        <f t="shared" si="128"/>
        <v>54</v>
      </c>
      <c r="P1207" t="str">
        <f t="shared" si="129"/>
        <v>mężczyzna</v>
      </c>
      <c r="Q1207">
        <f t="shared" si="130"/>
        <v>244</v>
      </c>
      <c r="R1207">
        <f t="shared" si="131"/>
        <v>48</v>
      </c>
      <c r="S1207">
        <f t="shared" ca="1" si="132"/>
        <v>1</v>
      </c>
    </row>
    <row r="1208" spans="1:19">
      <c r="A1208" s="1" t="s">
        <v>19</v>
      </c>
      <c r="B1208" s="2">
        <v>300</v>
      </c>
      <c r="C1208" s="1">
        <v>300</v>
      </c>
      <c r="D1208" s="1" t="s">
        <v>684</v>
      </c>
      <c r="E1208" s="1">
        <v>13</v>
      </c>
      <c r="F1208" s="3">
        <v>1167.94</v>
      </c>
      <c r="G1208" s="1">
        <v>3</v>
      </c>
      <c r="H1208" s="1" t="s">
        <v>2417</v>
      </c>
      <c r="I1208" s="1" t="s">
        <v>686</v>
      </c>
      <c r="J1208" s="1" t="s">
        <v>16</v>
      </c>
      <c r="K1208" s="1" t="s">
        <v>2405</v>
      </c>
      <c r="L1208" s="1" t="s">
        <v>2226</v>
      </c>
      <c r="M1208">
        <f t="shared" si="126"/>
        <v>300</v>
      </c>
      <c r="N1208" t="str">
        <f t="shared" si="127"/>
        <v>1932-04-05</v>
      </c>
      <c r="O1208">
        <f t="shared" si="128"/>
        <v>80</v>
      </c>
      <c r="P1208" t="str">
        <f t="shared" si="129"/>
        <v>kobieta</v>
      </c>
      <c r="Q1208">
        <f t="shared" si="130"/>
        <v>372</v>
      </c>
      <c r="R1208">
        <f t="shared" si="131"/>
        <v>48</v>
      </c>
      <c r="S1208">
        <f t="shared" ca="1" si="132"/>
        <v>0</v>
      </c>
    </row>
    <row r="1209" spans="1:19">
      <c r="A1209" s="1" t="s">
        <v>56</v>
      </c>
      <c r="B1209" s="2">
        <v>1136.54</v>
      </c>
      <c r="C1209" s="1">
        <v>1136.54</v>
      </c>
      <c r="D1209" s="1" t="s">
        <v>1097</v>
      </c>
      <c r="E1209" s="1">
        <v>12</v>
      </c>
      <c r="F1209" s="3">
        <v>1500</v>
      </c>
      <c r="G1209" s="1">
        <v>4</v>
      </c>
      <c r="H1209" s="1" t="s">
        <v>2418</v>
      </c>
      <c r="I1209" s="1" t="s">
        <v>1099</v>
      </c>
      <c r="J1209" s="1" t="s">
        <v>90</v>
      </c>
      <c r="K1209" s="1" t="s">
        <v>2405</v>
      </c>
      <c r="L1209" s="1" t="s">
        <v>28</v>
      </c>
      <c r="M1209">
        <f t="shared" si="126"/>
        <v>1136.54</v>
      </c>
      <c r="N1209" t="str">
        <f t="shared" si="127"/>
        <v>1976-12-16</v>
      </c>
      <c r="O1209">
        <f t="shared" si="128"/>
        <v>36</v>
      </c>
      <c r="P1209" t="str">
        <f t="shared" si="129"/>
        <v>mężczyzna</v>
      </c>
      <c r="Q1209">
        <f t="shared" si="130"/>
        <v>36</v>
      </c>
      <c r="R1209">
        <f t="shared" si="131"/>
        <v>0</v>
      </c>
      <c r="S1209">
        <f t="shared" ca="1" si="132"/>
        <v>5167</v>
      </c>
    </row>
    <row r="1210" spans="1:19">
      <c r="A1210" s="1" t="s">
        <v>19</v>
      </c>
      <c r="B1210" s="2">
        <v>500</v>
      </c>
      <c r="C1210" s="1">
        <v>500</v>
      </c>
      <c r="D1210" s="1" t="s">
        <v>545</v>
      </c>
      <c r="E1210" s="1">
        <v>11</v>
      </c>
      <c r="F1210" s="3">
        <v>1800</v>
      </c>
      <c r="G1210" s="1">
        <v>8</v>
      </c>
      <c r="H1210" s="1" t="s">
        <v>2419</v>
      </c>
      <c r="I1210" s="1" t="s">
        <v>547</v>
      </c>
      <c r="J1210" s="1" t="s">
        <v>16</v>
      </c>
      <c r="K1210" s="1" t="s">
        <v>2405</v>
      </c>
      <c r="L1210" s="1" t="s">
        <v>2145</v>
      </c>
      <c r="M1210">
        <f t="shared" si="126"/>
        <v>500</v>
      </c>
      <c r="N1210" t="str">
        <f t="shared" si="127"/>
        <v>1962-10-31</v>
      </c>
      <c r="O1210">
        <f t="shared" si="128"/>
        <v>50</v>
      </c>
      <c r="P1210" t="str">
        <f t="shared" si="129"/>
        <v>kobieta</v>
      </c>
      <c r="Q1210">
        <f t="shared" si="130"/>
        <v>56</v>
      </c>
      <c r="R1210">
        <f t="shared" si="131"/>
        <v>48</v>
      </c>
      <c r="S1210">
        <f t="shared" ca="1" si="132"/>
        <v>1</v>
      </c>
    </row>
    <row r="1211" spans="1:19">
      <c r="A1211" s="1" t="s">
        <v>19</v>
      </c>
      <c r="B1211" s="2">
        <v>770.69</v>
      </c>
      <c r="C1211" s="1">
        <v>770.69</v>
      </c>
      <c r="D1211" s="1" t="s">
        <v>170</v>
      </c>
      <c r="E1211" s="1">
        <v>13</v>
      </c>
      <c r="F1211" s="3">
        <v>860</v>
      </c>
      <c r="G1211" s="1">
        <v>2</v>
      </c>
      <c r="H1211" s="1" t="s">
        <v>2420</v>
      </c>
      <c r="I1211" s="1" t="s">
        <v>172</v>
      </c>
      <c r="J1211" s="1" t="s">
        <v>16</v>
      </c>
      <c r="K1211" s="1" t="s">
        <v>2405</v>
      </c>
      <c r="L1211" s="1" t="s">
        <v>2421</v>
      </c>
      <c r="M1211">
        <f t="shared" si="126"/>
        <v>770.69</v>
      </c>
      <c r="N1211" t="str">
        <f t="shared" si="127"/>
        <v>1948-02-10</v>
      </c>
      <c r="O1211">
        <f t="shared" si="128"/>
        <v>64</v>
      </c>
      <c r="P1211" t="str">
        <f t="shared" si="129"/>
        <v>kobieta</v>
      </c>
      <c r="Q1211">
        <f t="shared" si="130"/>
        <v>83</v>
      </c>
      <c r="R1211">
        <f t="shared" si="131"/>
        <v>48</v>
      </c>
      <c r="S1211">
        <f t="shared" ca="1" si="132"/>
        <v>3</v>
      </c>
    </row>
    <row r="1212" spans="1:19">
      <c r="A1212" s="1" t="s">
        <v>19</v>
      </c>
      <c r="B1212" s="2">
        <v>200</v>
      </c>
      <c r="C1212" s="1">
        <v>200</v>
      </c>
      <c r="D1212" s="1" t="s">
        <v>1289</v>
      </c>
      <c r="E1212" s="1">
        <v>13</v>
      </c>
      <c r="F1212" s="3">
        <v>1611</v>
      </c>
      <c r="G1212" s="1">
        <v>0</v>
      </c>
      <c r="H1212" s="1" t="s">
        <v>2422</v>
      </c>
      <c r="I1212" s="1" t="s">
        <v>356</v>
      </c>
      <c r="J1212" s="1" t="s">
        <v>16</v>
      </c>
      <c r="K1212" s="1" t="s">
        <v>2405</v>
      </c>
      <c r="L1212" s="1" t="s">
        <v>2226</v>
      </c>
      <c r="M1212">
        <f t="shared" si="126"/>
        <v>200</v>
      </c>
      <c r="N1212" t="str">
        <f t="shared" si="127"/>
        <v>1946-08-03</v>
      </c>
      <c r="O1212">
        <f t="shared" si="128"/>
        <v>66</v>
      </c>
      <c r="P1212" t="str">
        <f t="shared" si="129"/>
        <v>mężczyzna</v>
      </c>
      <c r="Q1212">
        <f t="shared" si="130"/>
        <v>144</v>
      </c>
      <c r="R1212">
        <f t="shared" si="131"/>
        <v>48</v>
      </c>
      <c r="S1212">
        <f t="shared" ca="1" si="132"/>
        <v>0</v>
      </c>
    </row>
    <row r="1213" spans="1:19">
      <c r="A1213" s="1" t="s">
        <v>24</v>
      </c>
      <c r="B1213" s="2">
        <v>200</v>
      </c>
      <c r="C1213" s="1">
        <v>0</v>
      </c>
      <c r="D1213" s="1" t="s">
        <v>2423</v>
      </c>
      <c r="E1213" s="1">
        <v>13</v>
      </c>
      <c r="F1213" s="3">
        <v>892</v>
      </c>
      <c r="G1213" s="1">
        <v>0</v>
      </c>
      <c r="H1213" s="1" t="s">
        <v>2424</v>
      </c>
      <c r="I1213" s="1" t="s">
        <v>2425</v>
      </c>
      <c r="J1213" s="1" t="s">
        <v>16</v>
      </c>
      <c r="K1213" s="1" t="s">
        <v>16</v>
      </c>
      <c r="L1213" s="1" t="s">
        <v>28</v>
      </c>
      <c r="M1213">
        <f t="shared" si="126"/>
        <v>200</v>
      </c>
      <c r="N1213" t="str">
        <f t="shared" si="127"/>
        <v>1940-10-08</v>
      </c>
      <c r="O1213">
        <f t="shared" si="128"/>
        <v>72</v>
      </c>
      <c r="P1213" t="str">
        <f t="shared" si="129"/>
        <v>kobieta</v>
      </c>
      <c r="Q1213">
        <f t="shared" si="130"/>
        <v>216</v>
      </c>
      <c r="R1213">
        <f t="shared" si="131"/>
        <v>48</v>
      </c>
      <c r="S1213">
        <f t="shared" ca="1" si="132"/>
        <v>0</v>
      </c>
    </row>
    <row r="1214" spans="1:19">
      <c r="A1214" s="1" t="s">
        <v>19</v>
      </c>
      <c r="B1214" s="2">
        <v>1000</v>
      </c>
      <c r="C1214" s="1">
        <v>500</v>
      </c>
      <c r="D1214" s="1" t="s">
        <v>2426</v>
      </c>
      <c r="E1214" s="1">
        <v>12</v>
      </c>
      <c r="F1214" s="3">
        <v>2000</v>
      </c>
      <c r="G1214" s="1">
        <v>0</v>
      </c>
      <c r="H1214" s="1" t="s">
        <v>2427</v>
      </c>
      <c r="I1214" s="1" t="s">
        <v>2428</v>
      </c>
      <c r="J1214" s="1" t="s">
        <v>1840</v>
      </c>
      <c r="K1214" s="1" t="s">
        <v>2429</v>
      </c>
      <c r="L1214" s="1" t="s">
        <v>2226</v>
      </c>
      <c r="M1214">
        <f t="shared" si="126"/>
        <v>500</v>
      </c>
      <c r="N1214" t="str">
        <f t="shared" si="127"/>
        <v>1975-03-18</v>
      </c>
      <c r="O1214">
        <f t="shared" si="128"/>
        <v>37</v>
      </c>
      <c r="P1214" t="str">
        <f t="shared" si="129"/>
        <v>mężczyzna</v>
      </c>
      <c r="Q1214">
        <f t="shared" si="130"/>
        <v>36</v>
      </c>
      <c r="R1214">
        <f t="shared" si="131"/>
        <v>35</v>
      </c>
      <c r="S1214">
        <f t="shared" ca="1" si="132"/>
        <v>0</v>
      </c>
    </row>
    <row r="1215" spans="1:19">
      <c r="A1215" s="1" t="s">
        <v>12</v>
      </c>
      <c r="B1215" s="2">
        <v>200</v>
      </c>
      <c r="C1215" s="1">
        <v>200</v>
      </c>
      <c r="D1215" s="1" t="s">
        <v>782</v>
      </c>
      <c r="E1215" s="1">
        <v>11</v>
      </c>
      <c r="F1215" s="3">
        <v>1400</v>
      </c>
      <c r="G1215" s="1">
        <v>8</v>
      </c>
      <c r="H1215" s="1" t="s">
        <v>2430</v>
      </c>
      <c r="I1215" s="1" t="s">
        <v>784</v>
      </c>
      <c r="J1215" s="1" t="s">
        <v>16</v>
      </c>
      <c r="K1215" s="1" t="s">
        <v>2429</v>
      </c>
      <c r="L1215" s="1" t="s">
        <v>2226</v>
      </c>
      <c r="M1215">
        <f t="shared" si="126"/>
        <v>200</v>
      </c>
      <c r="N1215" t="str">
        <f t="shared" si="127"/>
        <v>1957-01-13</v>
      </c>
      <c r="O1215">
        <f t="shared" si="128"/>
        <v>55</v>
      </c>
      <c r="P1215" t="str">
        <f t="shared" si="129"/>
        <v>kobieta</v>
      </c>
      <c r="Q1215">
        <f t="shared" si="130"/>
        <v>120</v>
      </c>
      <c r="R1215">
        <f t="shared" si="131"/>
        <v>48</v>
      </c>
      <c r="S1215">
        <f t="shared" ca="1" si="132"/>
        <v>0</v>
      </c>
    </row>
    <row r="1216" spans="1:19">
      <c r="A1216" s="1" t="s">
        <v>19</v>
      </c>
      <c r="B1216" s="2">
        <v>200</v>
      </c>
      <c r="C1216" s="1">
        <v>200</v>
      </c>
      <c r="D1216" s="1" t="s">
        <v>710</v>
      </c>
      <c r="E1216" s="1">
        <v>98</v>
      </c>
      <c r="F1216" s="3">
        <v>980</v>
      </c>
      <c r="G1216" s="1">
        <v>7</v>
      </c>
      <c r="H1216" s="1" t="s">
        <v>2431</v>
      </c>
      <c r="I1216" s="1" t="s">
        <v>712</v>
      </c>
      <c r="J1216" s="1" t="s">
        <v>16</v>
      </c>
      <c r="K1216" s="1" t="s">
        <v>2429</v>
      </c>
      <c r="L1216" s="1" t="s">
        <v>2234</v>
      </c>
      <c r="M1216">
        <f t="shared" si="126"/>
        <v>200</v>
      </c>
      <c r="N1216" t="str">
        <f t="shared" si="127"/>
        <v>1955-08-26</v>
      </c>
      <c r="O1216">
        <f t="shared" si="128"/>
        <v>57</v>
      </c>
      <c r="P1216" t="str">
        <f t="shared" si="129"/>
        <v>kobieta</v>
      </c>
      <c r="Q1216">
        <f t="shared" si="130"/>
        <v>13</v>
      </c>
      <c r="R1216">
        <f t="shared" si="131"/>
        <v>48</v>
      </c>
      <c r="S1216">
        <f t="shared" ca="1" si="132"/>
        <v>0</v>
      </c>
    </row>
    <row r="1217" spans="1:19">
      <c r="A1217" s="1" t="s">
        <v>19</v>
      </c>
      <c r="B1217" s="2">
        <v>500</v>
      </c>
      <c r="C1217" s="1">
        <v>500</v>
      </c>
      <c r="D1217" s="1" t="s">
        <v>372</v>
      </c>
      <c r="E1217" s="1">
        <v>11</v>
      </c>
      <c r="F1217" s="3">
        <v>3898</v>
      </c>
      <c r="G1217" s="1">
        <v>3</v>
      </c>
      <c r="H1217" s="1" t="s">
        <v>2432</v>
      </c>
      <c r="I1217" s="1" t="s">
        <v>374</v>
      </c>
      <c r="J1217" s="1" t="s">
        <v>16</v>
      </c>
      <c r="K1217" s="1" t="s">
        <v>2429</v>
      </c>
      <c r="L1217" s="1" t="s">
        <v>2261</v>
      </c>
      <c r="M1217">
        <f t="shared" si="126"/>
        <v>500</v>
      </c>
      <c r="N1217" t="str">
        <f t="shared" si="127"/>
        <v>1975-03-16</v>
      </c>
      <c r="O1217">
        <f t="shared" si="128"/>
        <v>37</v>
      </c>
      <c r="P1217" t="str">
        <f t="shared" si="129"/>
        <v>mężczyzna</v>
      </c>
      <c r="Q1217">
        <f t="shared" si="130"/>
        <v>184</v>
      </c>
      <c r="R1217">
        <f t="shared" si="131"/>
        <v>48</v>
      </c>
      <c r="S1217">
        <f t="shared" ca="1" si="132"/>
        <v>5</v>
      </c>
    </row>
    <row r="1218" spans="1:19">
      <c r="A1218" s="1" t="s">
        <v>19</v>
      </c>
      <c r="B1218" s="2">
        <v>400</v>
      </c>
      <c r="C1218" s="1">
        <v>300</v>
      </c>
      <c r="D1218" s="1" t="s">
        <v>2433</v>
      </c>
      <c r="E1218" s="1">
        <v>12</v>
      </c>
      <c r="F1218" s="3">
        <v>1756</v>
      </c>
      <c r="G1218" s="1">
        <v>0</v>
      </c>
      <c r="H1218" s="1" t="s">
        <v>2434</v>
      </c>
      <c r="I1218" s="1" t="s">
        <v>275</v>
      </c>
      <c r="J1218" s="1" t="s">
        <v>2222</v>
      </c>
      <c r="K1218" s="1" t="s">
        <v>2429</v>
      </c>
      <c r="L1218" s="1" t="s">
        <v>2234</v>
      </c>
      <c r="M1218">
        <f t="shared" si="126"/>
        <v>300</v>
      </c>
      <c r="N1218" t="str">
        <f t="shared" si="127"/>
        <v>1957-10-30</v>
      </c>
      <c r="O1218">
        <f t="shared" si="128"/>
        <v>55</v>
      </c>
      <c r="P1218" t="str">
        <f t="shared" si="129"/>
        <v>kobieta</v>
      </c>
      <c r="Q1218">
        <f t="shared" si="130"/>
        <v>2</v>
      </c>
      <c r="R1218">
        <f t="shared" si="131"/>
        <v>1</v>
      </c>
      <c r="S1218">
        <f t="shared" ca="1" si="132"/>
        <v>0</v>
      </c>
    </row>
    <row r="1219" spans="1:19">
      <c r="A1219" s="1" t="s">
        <v>19</v>
      </c>
      <c r="B1219" s="2">
        <v>800</v>
      </c>
      <c r="C1219" s="1">
        <v>400</v>
      </c>
      <c r="D1219" s="1" t="s">
        <v>2435</v>
      </c>
      <c r="E1219" s="1">
        <v>13</v>
      </c>
      <c r="F1219" s="3">
        <v>1650</v>
      </c>
      <c r="G1219" s="1">
        <v>0</v>
      </c>
      <c r="H1219" s="1" t="s">
        <v>2436</v>
      </c>
      <c r="I1219" s="1" t="s">
        <v>2437</v>
      </c>
      <c r="J1219" s="1" t="s">
        <v>16</v>
      </c>
      <c r="K1219" s="1" t="s">
        <v>2429</v>
      </c>
      <c r="L1219" s="1" t="s">
        <v>2119</v>
      </c>
      <c r="M1219">
        <f t="shared" ref="M1219:M1282" si="133">IF(A1219="odmowa", B1219,C1219)</f>
        <v>400</v>
      </c>
      <c r="N1219" t="str">
        <f t="shared" ref="N1219:N1282" si="134">CONCATENATE("19", MID(D1219, 1, 2), "-", MID(D1219, 3, 2), "-", MID(D1219, 5, 2))</f>
        <v>1949-09-16</v>
      </c>
      <c r="O1219">
        <f t="shared" ref="O1219:O1282" si="135">YEAR(H1219) - YEAR(N1219)</f>
        <v>63</v>
      </c>
      <c r="P1219" t="str">
        <f t="shared" ref="P1219:P1282" si="136">IF(MOD(MID(D1219, 10, 1), 2)=0, "kobieta", "mężczyzna")</f>
        <v>kobieta</v>
      </c>
      <c r="Q1219">
        <f t="shared" ref="Q1219:Q1282" si="137">(YEAR(H1219) - YEAR(I1219)) * 12 + MONTH(H1219) - MONTH(I1219)</f>
        <v>85</v>
      </c>
      <c r="R1219">
        <f t="shared" ref="R1219:R1282" si="138">IF(LEFT(J1219, 4)="0000", 48, MIN(48, (YEAR(J1219) - YEAR(H1219)) * 12 + MONTH(J1219) - MONTH(H1219)))</f>
        <v>48</v>
      </c>
      <c r="S1219">
        <f t="shared" ref="S1219:S1282" ca="1" si="139">IF(LEFT(K1219, 4)="0000", 0, IF(LEFT(L1219, 4)="0000", MAX(0, TODAY() - K1219), MAX(0, L1219 - K1219)))</f>
        <v>0</v>
      </c>
    </row>
    <row r="1220" spans="1:19">
      <c r="A1220" s="1" t="s">
        <v>12</v>
      </c>
      <c r="B1220" s="2">
        <v>600</v>
      </c>
      <c r="C1220" s="1">
        <v>500</v>
      </c>
      <c r="D1220" s="1" t="s">
        <v>2438</v>
      </c>
      <c r="E1220" s="1">
        <v>11</v>
      </c>
      <c r="F1220" s="3">
        <v>2800</v>
      </c>
      <c r="G1220" s="1">
        <v>0</v>
      </c>
      <c r="H1220" s="1" t="s">
        <v>2439</v>
      </c>
      <c r="I1220" s="1" t="s">
        <v>2440</v>
      </c>
      <c r="J1220" s="1" t="s">
        <v>16</v>
      </c>
      <c r="K1220" s="1" t="s">
        <v>2429</v>
      </c>
      <c r="L1220" s="1" t="s">
        <v>2350</v>
      </c>
      <c r="M1220">
        <f t="shared" si="133"/>
        <v>500</v>
      </c>
      <c r="N1220" t="str">
        <f t="shared" si="134"/>
        <v>1975-01-10</v>
      </c>
      <c r="O1220">
        <f t="shared" si="135"/>
        <v>37</v>
      </c>
      <c r="P1220" t="str">
        <f t="shared" si="136"/>
        <v>mężczyzna</v>
      </c>
      <c r="Q1220">
        <f t="shared" si="137"/>
        <v>158</v>
      </c>
      <c r="R1220">
        <f t="shared" si="138"/>
        <v>48</v>
      </c>
      <c r="S1220">
        <f t="shared" ca="1" si="139"/>
        <v>2</v>
      </c>
    </row>
    <row r="1221" spans="1:19">
      <c r="A1221" s="1" t="s">
        <v>19</v>
      </c>
      <c r="B1221" s="2">
        <v>1000</v>
      </c>
      <c r="C1221" s="1">
        <v>300</v>
      </c>
      <c r="D1221" s="1" t="s">
        <v>2441</v>
      </c>
      <c r="E1221" s="1">
        <v>13</v>
      </c>
      <c r="F1221" s="3">
        <v>1389</v>
      </c>
      <c r="G1221" s="1">
        <v>0</v>
      </c>
      <c r="H1221" s="1" t="s">
        <v>2442</v>
      </c>
      <c r="I1221" s="1" t="s">
        <v>2443</v>
      </c>
      <c r="J1221" s="1" t="s">
        <v>16</v>
      </c>
      <c r="K1221" s="1" t="s">
        <v>2429</v>
      </c>
      <c r="L1221" s="1" t="s">
        <v>2145</v>
      </c>
      <c r="M1221">
        <f t="shared" si="133"/>
        <v>300</v>
      </c>
      <c r="N1221" t="str">
        <f t="shared" si="134"/>
        <v>1941-07-15</v>
      </c>
      <c r="O1221">
        <f t="shared" si="135"/>
        <v>71</v>
      </c>
      <c r="P1221" t="str">
        <f t="shared" si="136"/>
        <v>kobieta</v>
      </c>
      <c r="Q1221">
        <f t="shared" si="137"/>
        <v>71</v>
      </c>
      <c r="R1221">
        <f t="shared" si="138"/>
        <v>48</v>
      </c>
      <c r="S1221">
        <f t="shared" ca="1" si="139"/>
        <v>0</v>
      </c>
    </row>
    <row r="1222" spans="1:19">
      <c r="A1222" s="1" t="s">
        <v>19</v>
      </c>
      <c r="B1222" s="2">
        <v>423.23</v>
      </c>
      <c r="C1222" s="1">
        <v>423.23</v>
      </c>
      <c r="D1222" s="1" t="s">
        <v>992</v>
      </c>
      <c r="E1222" s="1">
        <v>11</v>
      </c>
      <c r="F1222" s="3">
        <v>2700</v>
      </c>
      <c r="G1222" s="1">
        <v>7</v>
      </c>
      <c r="H1222" s="1" t="s">
        <v>2444</v>
      </c>
      <c r="I1222" s="1" t="s">
        <v>994</v>
      </c>
      <c r="J1222" s="1" t="s">
        <v>16</v>
      </c>
      <c r="K1222" s="1" t="s">
        <v>2429</v>
      </c>
      <c r="L1222" s="1" t="s">
        <v>2330</v>
      </c>
      <c r="M1222">
        <f t="shared" si="133"/>
        <v>423.23</v>
      </c>
      <c r="N1222" t="str">
        <f t="shared" si="134"/>
        <v>1980-02-22</v>
      </c>
      <c r="O1222">
        <f t="shared" si="135"/>
        <v>32</v>
      </c>
      <c r="P1222" t="str">
        <f t="shared" si="136"/>
        <v>mężczyzna</v>
      </c>
      <c r="Q1222">
        <f t="shared" si="137"/>
        <v>18</v>
      </c>
      <c r="R1222">
        <f t="shared" si="138"/>
        <v>48</v>
      </c>
      <c r="S1222">
        <f t="shared" ca="1" si="139"/>
        <v>9</v>
      </c>
    </row>
    <row r="1223" spans="1:19">
      <c r="A1223" s="1" t="s">
        <v>24</v>
      </c>
      <c r="B1223" s="2">
        <v>600</v>
      </c>
      <c r="C1223" s="1">
        <v>0</v>
      </c>
      <c r="D1223" s="1" t="s">
        <v>2445</v>
      </c>
      <c r="E1223" s="1">
        <v>12</v>
      </c>
      <c r="F1223" s="3">
        <v>1156</v>
      </c>
      <c r="G1223" s="1">
        <v>0</v>
      </c>
      <c r="H1223" s="1" t="s">
        <v>2446</v>
      </c>
      <c r="I1223" s="1" t="s">
        <v>2447</v>
      </c>
      <c r="J1223" s="1" t="s">
        <v>2448</v>
      </c>
      <c r="K1223" s="1" t="s">
        <v>16</v>
      </c>
      <c r="L1223" s="1" t="s">
        <v>28</v>
      </c>
      <c r="M1223">
        <f t="shared" si="133"/>
        <v>600</v>
      </c>
      <c r="N1223" t="str">
        <f t="shared" si="134"/>
        <v>1987-07-18</v>
      </c>
      <c r="O1223">
        <f t="shared" si="135"/>
        <v>25</v>
      </c>
      <c r="P1223" t="str">
        <f t="shared" si="136"/>
        <v>kobieta</v>
      </c>
      <c r="Q1223">
        <f t="shared" si="137"/>
        <v>4</v>
      </c>
      <c r="R1223">
        <f t="shared" si="138"/>
        <v>8</v>
      </c>
      <c r="S1223">
        <f t="shared" ca="1" si="139"/>
        <v>0</v>
      </c>
    </row>
    <row r="1224" spans="1:19">
      <c r="A1224" s="1" t="s">
        <v>19</v>
      </c>
      <c r="B1224" s="2">
        <v>500</v>
      </c>
      <c r="C1224" s="1">
        <v>200</v>
      </c>
      <c r="D1224" s="1" t="s">
        <v>2449</v>
      </c>
      <c r="E1224" s="1">
        <v>13</v>
      </c>
      <c r="F1224" s="3">
        <v>974</v>
      </c>
      <c r="G1224" s="1">
        <v>0</v>
      </c>
      <c r="H1224" s="1" t="s">
        <v>2450</v>
      </c>
      <c r="I1224" s="1" t="s">
        <v>157</v>
      </c>
      <c r="J1224" s="1" t="s">
        <v>16</v>
      </c>
      <c r="K1224" s="1" t="s">
        <v>2429</v>
      </c>
      <c r="L1224" s="1" t="s">
        <v>2234</v>
      </c>
      <c r="M1224">
        <f t="shared" si="133"/>
        <v>200</v>
      </c>
      <c r="N1224" t="str">
        <f t="shared" si="134"/>
        <v>1946-05-27</v>
      </c>
      <c r="O1224">
        <f t="shared" si="135"/>
        <v>66</v>
      </c>
      <c r="P1224" t="str">
        <f t="shared" si="136"/>
        <v>kobieta</v>
      </c>
      <c r="Q1224">
        <f t="shared" si="137"/>
        <v>204</v>
      </c>
      <c r="R1224">
        <f t="shared" si="138"/>
        <v>48</v>
      </c>
      <c r="S1224">
        <f t="shared" ca="1" si="139"/>
        <v>0</v>
      </c>
    </row>
    <row r="1225" spans="1:19">
      <c r="A1225" s="1" t="s">
        <v>12</v>
      </c>
      <c r="B1225" s="2">
        <v>1000</v>
      </c>
      <c r="C1225" s="1">
        <v>400</v>
      </c>
      <c r="D1225" s="1" t="s">
        <v>2451</v>
      </c>
      <c r="E1225" s="1">
        <v>11</v>
      </c>
      <c r="F1225" s="3">
        <v>2600</v>
      </c>
      <c r="G1225" s="1">
        <v>0</v>
      </c>
      <c r="H1225" s="1" t="s">
        <v>2452</v>
      </c>
      <c r="I1225" s="1" t="s">
        <v>2453</v>
      </c>
      <c r="J1225" s="1" t="s">
        <v>16</v>
      </c>
      <c r="K1225" s="1" t="s">
        <v>2429</v>
      </c>
      <c r="L1225" s="1" t="s">
        <v>2207</v>
      </c>
      <c r="M1225">
        <f t="shared" si="133"/>
        <v>400</v>
      </c>
      <c r="N1225" t="str">
        <f t="shared" si="134"/>
        <v>1966-12-14</v>
      </c>
      <c r="O1225">
        <f t="shared" si="135"/>
        <v>46</v>
      </c>
      <c r="P1225" t="str">
        <f t="shared" si="136"/>
        <v>mężczyzna</v>
      </c>
      <c r="Q1225">
        <f t="shared" si="137"/>
        <v>5</v>
      </c>
      <c r="R1225">
        <f t="shared" si="138"/>
        <v>48</v>
      </c>
      <c r="S1225">
        <f t="shared" ca="1" si="139"/>
        <v>0</v>
      </c>
    </row>
    <row r="1226" spans="1:19">
      <c r="A1226" s="1" t="s">
        <v>19</v>
      </c>
      <c r="B1226" s="2">
        <v>300</v>
      </c>
      <c r="C1226" s="1">
        <v>300</v>
      </c>
      <c r="D1226" s="1" t="s">
        <v>586</v>
      </c>
      <c r="E1226" s="1">
        <v>12</v>
      </c>
      <c r="F1226" s="3">
        <v>1500</v>
      </c>
      <c r="G1226" s="1">
        <v>7</v>
      </c>
      <c r="H1226" s="1" t="s">
        <v>2454</v>
      </c>
      <c r="I1226" s="1" t="s">
        <v>161</v>
      </c>
      <c r="J1226" s="1" t="s">
        <v>1924</v>
      </c>
      <c r="K1226" s="1" t="s">
        <v>2429</v>
      </c>
      <c r="L1226" s="1" t="s">
        <v>2234</v>
      </c>
      <c r="M1226">
        <f t="shared" si="133"/>
        <v>300</v>
      </c>
      <c r="N1226" t="str">
        <f t="shared" si="134"/>
        <v>1989-06-09</v>
      </c>
      <c r="O1226">
        <f t="shared" si="135"/>
        <v>23</v>
      </c>
      <c r="P1226" t="str">
        <f t="shared" si="136"/>
        <v>kobieta</v>
      </c>
      <c r="Q1226">
        <f t="shared" si="137"/>
        <v>7</v>
      </c>
      <c r="R1226">
        <f t="shared" si="138"/>
        <v>11</v>
      </c>
      <c r="S1226">
        <f t="shared" ca="1" si="139"/>
        <v>0</v>
      </c>
    </row>
    <row r="1227" spans="1:19">
      <c r="A1227" s="1" t="s">
        <v>24</v>
      </c>
      <c r="B1227" s="2">
        <v>500</v>
      </c>
      <c r="C1227" s="1">
        <v>0</v>
      </c>
      <c r="D1227" s="1" t="s">
        <v>2455</v>
      </c>
      <c r="E1227" s="1">
        <v>12</v>
      </c>
      <c r="F1227" s="3">
        <v>1400</v>
      </c>
      <c r="G1227" s="1">
        <v>0</v>
      </c>
      <c r="H1227" s="1" t="s">
        <v>2456</v>
      </c>
      <c r="I1227" s="1" t="s">
        <v>27</v>
      </c>
      <c r="J1227" s="1" t="s">
        <v>129</v>
      </c>
      <c r="K1227" s="1" t="s">
        <v>16</v>
      </c>
      <c r="L1227" s="1" t="s">
        <v>28</v>
      </c>
      <c r="M1227">
        <f t="shared" si="133"/>
        <v>500</v>
      </c>
      <c r="N1227" t="str">
        <f t="shared" si="134"/>
        <v>1979-05-23</v>
      </c>
      <c r="O1227">
        <f t="shared" si="135"/>
        <v>33</v>
      </c>
      <c r="P1227" t="str">
        <f t="shared" si="136"/>
        <v>mężczyzna</v>
      </c>
      <c r="Q1227">
        <f t="shared" si="137"/>
        <v>6</v>
      </c>
      <c r="R1227">
        <f t="shared" si="138"/>
        <v>23</v>
      </c>
      <c r="S1227">
        <f t="shared" ca="1" si="139"/>
        <v>0</v>
      </c>
    </row>
    <row r="1228" spans="1:19">
      <c r="A1228" s="1" t="s">
        <v>19</v>
      </c>
      <c r="B1228" s="2">
        <v>500</v>
      </c>
      <c r="C1228" s="1">
        <v>500</v>
      </c>
      <c r="D1228" s="1" t="s">
        <v>698</v>
      </c>
      <c r="E1228" s="1">
        <v>11</v>
      </c>
      <c r="F1228" s="3">
        <v>2080</v>
      </c>
      <c r="G1228" s="1">
        <v>2</v>
      </c>
      <c r="H1228" s="1" t="s">
        <v>2457</v>
      </c>
      <c r="I1228" s="1" t="s">
        <v>700</v>
      </c>
      <c r="J1228" s="1" t="s">
        <v>16</v>
      </c>
      <c r="K1228" s="1" t="s">
        <v>2429</v>
      </c>
      <c r="L1228" s="1" t="s">
        <v>2350</v>
      </c>
      <c r="M1228">
        <f t="shared" si="133"/>
        <v>500</v>
      </c>
      <c r="N1228" t="str">
        <f t="shared" si="134"/>
        <v>1958-10-06</v>
      </c>
      <c r="O1228">
        <f t="shared" si="135"/>
        <v>54</v>
      </c>
      <c r="P1228" t="str">
        <f t="shared" si="136"/>
        <v>mężczyzna</v>
      </c>
      <c r="Q1228">
        <f t="shared" si="137"/>
        <v>321</v>
      </c>
      <c r="R1228">
        <f t="shared" si="138"/>
        <v>48</v>
      </c>
      <c r="S1228">
        <f t="shared" ca="1" si="139"/>
        <v>2</v>
      </c>
    </row>
    <row r="1229" spans="1:19">
      <c r="A1229" s="1" t="s">
        <v>19</v>
      </c>
      <c r="B1229" s="2">
        <v>200</v>
      </c>
      <c r="C1229" s="1">
        <v>200</v>
      </c>
      <c r="D1229" s="1" t="s">
        <v>667</v>
      </c>
      <c r="E1229" s="1">
        <v>16</v>
      </c>
      <c r="F1229" s="3">
        <v>749.28</v>
      </c>
      <c r="G1229" s="1">
        <v>8</v>
      </c>
      <c r="H1229" s="1" t="s">
        <v>2458</v>
      </c>
      <c r="I1229" s="1" t="s">
        <v>669</v>
      </c>
      <c r="J1229" s="1" t="s">
        <v>16</v>
      </c>
      <c r="K1229" s="1" t="s">
        <v>2252</v>
      </c>
      <c r="L1229" s="1" t="s">
        <v>2421</v>
      </c>
      <c r="M1229">
        <f t="shared" si="133"/>
        <v>200</v>
      </c>
      <c r="N1229" t="str">
        <f t="shared" si="134"/>
        <v>1958-05-27</v>
      </c>
      <c r="O1229">
        <f t="shared" si="135"/>
        <v>54</v>
      </c>
      <c r="P1229" t="str">
        <f t="shared" si="136"/>
        <v>kobieta</v>
      </c>
      <c r="Q1229">
        <f t="shared" si="137"/>
        <v>68</v>
      </c>
      <c r="R1229">
        <f t="shared" si="138"/>
        <v>48</v>
      </c>
      <c r="S1229">
        <f t="shared" ca="1" si="139"/>
        <v>0</v>
      </c>
    </row>
    <row r="1230" spans="1:19">
      <c r="A1230" s="1" t="s">
        <v>19</v>
      </c>
      <c r="B1230" s="2">
        <v>249.3</v>
      </c>
      <c r="C1230" s="1">
        <v>249.3</v>
      </c>
      <c r="D1230" s="1" t="s">
        <v>578</v>
      </c>
      <c r="E1230" s="1">
        <v>16</v>
      </c>
      <c r="F1230" s="3">
        <v>2100</v>
      </c>
      <c r="G1230" s="1">
        <v>3</v>
      </c>
      <c r="H1230" s="1" t="s">
        <v>2459</v>
      </c>
      <c r="I1230" s="1" t="s">
        <v>580</v>
      </c>
      <c r="J1230" s="1" t="s">
        <v>16</v>
      </c>
      <c r="K1230" s="1" t="s">
        <v>2252</v>
      </c>
      <c r="L1230" s="1" t="s">
        <v>2261</v>
      </c>
      <c r="M1230">
        <f t="shared" si="133"/>
        <v>249.3</v>
      </c>
      <c r="N1230" t="str">
        <f t="shared" si="134"/>
        <v>1954-07-29</v>
      </c>
      <c r="O1230">
        <f t="shared" si="135"/>
        <v>58</v>
      </c>
      <c r="P1230" t="str">
        <f t="shared" si="136"/>
        <v>kobieta</v>
      </c>
      <c r="Q1230">
        <f t="shared" si="137"/>
        <v>42</v>
      </c>
      <c r="R1230">
        <f t="shared" si="138"/>
        <v>48</v>
      </c>
      <c r="S1230">
        <f t="shared" ca="1" si="139"/>
        <v>4</v>
      </c>
    </row>
    <row r="1231" spans="1:19">
      <c r="A1231" s="1" t="s">
        <v>19</v>
      </c>
      <c r="B1231" s="2">
        <v>1000</v>
      </c>
      <c r="C1231" s="1">
        <v>500</v>
      </c>
      <c r="D1231" s="1" t="s">
        <v>2460</v>
      </c>
      <c r="E1231" s="1">
        <v>13</v>
      </c>
      <c r="F1231" s="3">
        <v>4200</v>
      </c>
      <c r="G1231" s="1">
        <v>0</v>
      </c>
      <c r="H1231" s="1" t="s">
        <v>2461</v>
      </c>
      <c r="I1231" s="1" t="s">
        <v>916</v>
      </c>
      <c r="J1231" s="1" t="s">
        <v>16</v>
      </c>
      <c r="K1231" s="1" t="s">
        <v>2252</v>
      </c>
      <c r="L1231" s="1" t="s">
        <v>2226</v>
      </c>
      <c r="M1231">
        <f t="shared" si="133"/>
        <v>500</v>
      </c>
      <c r="N1231" t="str">
        <f t="shared" si="134"/>
        <v>1960-05-07</v>
      </c>
      <c r="O1231">
        <f t="shared" si="135"/>
        <v>52</v>
      </c>
      <c r="P1231" t="str">
        <f t="shared" si="136"/>
        <v>mężczyzna</v>
      </c>
      <c r="Q1231">
        <f t="shared" si="137"/>
        <v>60</v>
      </c>
      <c r="R1231">
        <f t="shared" si="138"/>
        <v>48</v>
      </c>
      <c r="S1231">
        <f t="shared" ca="1" si="139"/>
        <v>0</v>
      </c>
    </row>
    <row r="1232" spans="1:19">
      <c r="A1232" s="1" t="s">
        <v>19</v>
      </c>
      <c r="B1232" s="2">
        <v>1000</v>
      </c>
      <c r="C1232" s="1">
        <v>1000</v>
      </c>
      <c r="D1232" s="1" t="s">
        <v>759</v>
      </c>
      <c r="E1232" s="1">
        <v>13</v>
      </c>
      <c r="F1232" s="3">
        <v>2291</v>
      </c>
      <c r="G1232" s="1">
        <v>4</v>
      </c>
      <c r="H1232" s="1" t="s">
        <v>2462</v>
      </c>
      <c r="I1232" s="1" t="s">
        <v>761</v>
      </c>
      <c r="J1232" s="1" t="s">
        <v>16</v>
      </c>
      <c r="K1232" s="1" t="s">
        <v>2252</v>
      </c>
      <c r="L1232" s="1" t="s">
        <v>2234</v>
      </c>
      <c r="M1232">
        <f t="shared" si="133"/>
        <v>1000</v>
      </c>
      <c r="N1232" t="str">
        <f t="shared" si="134"/>
        <v>1942-02-01</v>
      </c>
      <c r="O1232">
        <f t="shared" si="135"/>
        <v>70</v>
      </c>
      <c r="P1232" t="str">
        <f t="shared" si="136"/>
        <v>kobieta</v>
      </c>
      <c r="Q1232">
        <f t="shared" si="137"/>
        <v>74</v>
      </c>
      <c r="R1232">
        <f t="shared" si="138"/>
        <v>48</v>
      </c>
      <c r="S1232">
        <f t="shared" ca="1" si="139"/>
        <v>0</v>
      </c>
    </row>
    <row r="1233" spans="1:19">
      <c r="A1233" s="1" t="s">
        <v>19</v>
      </c>
      <c r="B1233" s="2">
        <v>500</v>
      </c>
      <c r="C1233" s="1">
        <v>500</v>
      </c>
      <c r="D1233" s="1" t="s">
        <v>454</v>
      </c>
      <c r="E1233" s="1">
        <v>12</v>
      </c>
      <c r="F1233" s="3">
        <v>1447</v>
      </c>
      <c r="G1233" s="1">
        <v>8</v>
      </c>
      <c r="H1233" s="1" t="s">
        <v>2463</v>
      </c>
      <c r="I1233" s="1" t="s">
        <v>456</v>
      </c>
      <c r="J1233" s="1" t="s">
        <v>1929</v>
      </c>
      <c r="K1233" s="1" t="s">
        <v>2252</v>
      </c>
      <c r="L1233" s="1" t="s">
        <v>2350</v>
      </c>
      <c r="M1233">
        <f t="shared" si="133"/>
        <v>500</v>
      </c>
      <c r="N1233" t="str">
        <f t="shared" si="134"/>
        <v>1982-06-22</v>
      </c>
      <c r="O1233">
        <f t="shared" si="135"/>
        <v>30</v>
      </c>
      <c r="P1233" t="str">
        <f t="shared" si="136"/>
        <v>kobieta</v>
      </c>
      <c r="Q1233">
        <f t="shared" si="137"/>
        <v>25</v>
      </c>
      <c r="R1233">
        <f t="shared" si="138"/>
        <v>11</v>
      </c>
      <c r="S1233">
        <f t="shared" ca="1" si="139"/>
        <v>1</v>
      </c>
    </row>
    <row r="1234" spans="1:19">
      <c r="A1234" s="1" t="s">
        <v>12</v>
      </c>
      <c r="B1234" s="2">
        <v>300</v>
      </c>
      <c r="C1234" s="1">
        <v>300</v>
      </c>
      <c r="D1234" s="1" t="s">
        <v>390</v>
      </c>
      <c r="E1234" s="1">
        <v>11</v>
      </c>
      <c r="F1234" s="3">
        <v>1566.82</v>
      </c>
      <c r="G1234" s="1">
        <v>0</v>
      </c>
      <c r="H1234" s="1" t="s">
        <v>2464</v>
      </c>
      <c r="I1234" s="1" t="s">
        <v>392</v>
      </c>
      <c r="J1234" s="1" t="s">
        <v>16</v>
      </c>
      <c r="K1234" s="1" t="s">
        <v>2252</v>
      </c>
      <c r="L1234" s="1" t="s">
        <v>2330</v>
      </c>
      <c r="M1234">
        <f t="shared" si="133"/>
        <v>300</v>
      </c>
      <c r="N1234" t="str">
        <f t="shared" si="134"/>
        <v>1965-06-08</v>
      </c>
      <c r="O1234">
        <f t="shared" si="135"/>
        <v>47</v>
      </c>
      <c r="P1234" t="str">
        <f t="shared" si="136"/>
        <v>mężczyzna</v>
      </c>
      <c r="Q1234">
        <f t="shared" si="137"/>
        <v>352</v>
      </c>
      <c r="R1234">
        <f t="shared" si="138"/>
        <v>48</v>
      </c>
      <c r="S1234">
        <f t="shared" ca="1" si="139"/>
        <v>8</v>
      </c>
    </row>
    <row r="1235" spans="1:19">
      <c r="A1235" s="1" t="s">
        <v>19</v>
      </c>
      <c r="B1235" s="2">
        <v>396.89</v>
      </c>
      <c r="C1235" s="1">
        <v>396.89</v>
      </c>
      <c r="D1235" s="1" t="s">
        <v>747</v>
      </c>
      <c r="E1235" s="1">
        <v>13</v>
      </c>
      <c r="F1235" s="3">
        <v>3700</v>
      </c>
      <c r="G1235" s="1">
        <v>8</v>
      </c>
      <c r="H1235" s="1" t="s">
        <v>2465</v>
      </c>
      <c r="I1235" s="1" t="s">
        <v>96</v>
      </c>
      <c r="J1235" s="1" t="s">
        <v>16</v>
      </c>
      <c r="K1235" s="1" t="s">
        <v>2252</v>
      </c>
      <c r="L1235" s="1" t="s">
        <v>2234</v>
      </c>
      <c r="M1235">
        <f t="shared" si="133"/>
        <v>396.89</v>
      </c>
      <c r="N1235" t="str">
        <f t="shared" si="134"/>
        <v>1949-07-02</v>
      </c>
      <c r="O1235">
        <f t="shared" si="135"/>
        <v>63</v>
      </c>
      <c r="P1235" t="str">
        <f t="shared" si="136"/>
        <v>kobieta</v>
      </c>
      <c r="Q1235">
        <f t="shared" si="137"/>
        <v>30</v>
      </c>
      <c r="R1235">
        <f t="shared" si="138"/>
        <v>48</v>
      </c>
      <c r="S1235">
        <f t="shared" ca="1" si="139"/>
        <v>0</v>
      </c>
    </row>
    <row r="1236" spans="1:19">
      <c r="A1236" s="1" t="s">
        <v>19</v>
      </c>
      <c r="B1236" s="2">
        <v>200</v>
      </c>
      <c r="C1236" s="1">
        <v>200</v>
      </c>
      <c r="D1236" s="1" t="s">
        <v>1317</v>
      </c>
      <c r="E1236" s="1">
        <v>13</v>
      </c>
      <c r="F1236" s="3">
        <v>965</v>
      </c>
      <c r="G1236" s="1">
        <v>7</v>
      </c>
      <c r="H1236" s="1" t="s">
        <v>2466</v>
      </c>
      <c r="I1236" s="1" t="s">
        <v>1319</v>
      </c>
      <c r="J1236" s="1" t="s">
        <v>16</v>
      </c>
      <c r="K1236" s="1" t="s">
        <v>2252</v>
      </c>
      <c r="L1236" s="1" t="s">
        <v>2234</v>
      </c>
      <c r="M1236">
        <f t="shared" si="133"/>
        <v>200</v>
      </c>
      <c r="N1236" t="str">
        <f t="shared" si="134"/>
        <v>1936-08-24</v>
      </c>
      <c r="O1236">
        <f t="shared" si="135"/>
        <v>76</v>
      </c>
      <c r="P1236" t="str">
        <f t="shared" si="136"/>
        <v>kobieta</v>
      </c>
      <c r="Q1236">
        <f t="shared" si="137"/>
        <v>248</v>
      </c>
      <c r="R1236">
        <f t="shared" si="138"/>
        <v>48</v>
      </c>
      <c r="S1236">
        <f t="shared" ca="1" si="139"/>
        <v>0</v>
      </c>
    </row>
    <row r="1237" spans="1:19">
      <c r="A1237" s="1" t="s">
        <v>12</v>
      </c>
      <c r="B1237" s="2">
        <v>200</v>
      </c>
      <c r="C1237" s="1">
        <v>200</v>
      </c>
      <c r="D1237" s="1" t="s">
        <v>598</v>
      </c>
      <c r="E1237" s="1">
        <v>13</v>
      </c>
      <c r="F1237" s="3">
        <v>1536</v>
      </c>
      <c r="G1237" s="1">
        <v>3</v>
      </c>
      <c r="H1237" s="1" t="s">
        <v>2467</v>
      </c>
      <c r="I1237" s="1" t="s">
        <v>600</v>
      </c>
      <c r="J1237" s="1" t="s">
        <v>16</v>
      </c>
      <c r="K1237" s="1" t="s">
        <v>2252</v>
      </c>
      <c r="L1237" s="1" t="s">
        <v>2421</v>
      </c>
      <c r="M1237">
        <f t="shared" si="133"/>
        <v>200</v>
      </c>
      <c r="N1237" t="str">
        <f t="shared" si="134"/>
        <v>1937-09-11</v>
      </c>
      <c r="O1237">
        <f t="shared" si="135"/>
        <v>75</v>
      </c>
      <c r="P1237" t="str">
        <f t="shared" si="136"/>
        <v>kobieta</v>
      </c>
      <c r="Q1237">
        <f t="shared" si="137"/>
        <v>39</v>
      </c>
      <c r="R1237">
        <f t="shared" si="138"/>
        <v>48</v>
      </c>
      <c r="S1237">
        <f t="shared" ca="1" si="139"/>
        <v>0</v>
      </c>
    </row>
    <row r="1238" spans="1:19">
      <c r="A1238" s="1" t="s">
        <v>19</v>
      </c>
      <c r="B1238" s="2">
        <v>300</v>
      </c>
      <c r="C1238" s="1">
        <v>300</v>
      </c>
      <c r="D1238" s="1" t="s">
        <v>707</v>
      </c>
      <c r="E1238" s="1">
        <v>13</v>
      </c>
      <c r="F1238" s="3">
        <v>1426</v>
      </c>
      <c r="G1238" s="1">
        <v>8</v>
      </c>
      <c r="H1238" s="1" t="s">
        <v>2468</v>
      </c>
      <c r="I1238" s="1" t="s">
        <v>709</v>
      </c>
      <c r="J1238" s="1" t="s">
        <v>16</v>
      </c>
      <c r="K1238" s="1" t="s">
        <v>2252</v>
      </c>
      <c r="L1238" s="1" t="s">
        <v>2234</v>
      </c>
      <c r="M1238">
        <f t="shared" si="133"/>
        <v>300</v>
      </c>
      <c r="N1238" t="str">
        <f t="shared" si="134"/>
        <v>1940-08-08</v>
      </c>
      <c r="O1238">
        <f t="shared" si="135"/>
        <v>72</v>
      </c>
      <c r="P1238" t="str">
        <f t="shared" si="136"/>
        <v>mężczyzna</v>
      </c>
      <c r="Q1238">
        <f t="shared" si="137"/>
        <v>80</v>
      </c>
      <c r="R1238">
        <f t="shared" si="138"/>
        <v>48</v>
      </c>
      <c r="S1238">
        <f t="shared" ca="1" si="139"/>
        <v>0</v>
      </c>
    </row>
    <row r="1239" spans="1:19">
      <c r="A1239" s="1" t="s">
        <v>12</v>
      </c>
      <c r="B1239" s="2">
        <v>300</v>
      </c>
      <c r="C1239" s="1">
        <v>300</v>
      </c>
      <c r="D1239" s="1" t="s">
        <v>264</v>
      </c>
      <c r="E1239" s="1">
        <v>11</v>
      </c>
      <c r="F1239" s="3">
        <v>2700</v>
      </c>
      <c r="G1239" s="1">
        <v>0</v>
      </c>
      <c r="H1239" s="1" t="s">
        <v>2469</v>
      </c>
      <c r="I1239" s="1" t="s">
        <v>266</v>
      </c>
      <c r="J1239" s="1" t="s">
        <v>16</v>
      </c>
      <c r="K1239" s="1" t="s">
        <v>2252</v>
      </c>
      <c r="L1239" s="1" t="s">
        <v>2133</v>
      </c>
      <c r="M1239">
        <f t="shared" si="133"/>
        <v>300</v>
      </c>
      <c r="N1239" t="str">
        <f t="shared" si="134"/>
        <v>1981-01-05</v>
      </c>
      <c r="O1239">
        <f t="shared" si="135"/>
        <v>31</v>
      </c>
      <c r="P1239" t="str">
        <f t="shared" si="136"/>
        <v>mężczyzna</v>
      </c>
      <c r="Q1239">
        <f t="shared" si="137"/>
        <v>67</v>
      </c>
      <c r="R1239">
        <f t="shared" si="138"/>
        <v>48</v>
      </c>
      <c r="S1239">
        <f t="shared" ca="1" si="139"/>
        <v>15</v>
      </c>
    </row>
    <row r="1240" spans="1:19">
      <c r="A1240" s="1" t="s">
        <v>19</v>
      </c>
      <c r="B1240" s="2">
        <v>700</v>
      </c>
      <c r="C1240" s="1">
        <v>700</v>
      </c>
      <c r="D1240" s="1" t="s">
        <v>510</v>
      </c>
      <c r="E1240" s="1">
        <v>11</v>
      </c>
      <c r="F1240" s="3">
        <v>3178.76</v>
      </c>
      <c r="G1240" s="1">
        <v>3</v>
      </c>
      <c r="H1240" s="1" t="s">
        <v>2470</v>
      </c>
      <c r="I1240" s="1" t="s">
        <v>319</v>
      </c>
      <c r="J1240" s="1" t="s">
        <v>16</v>
      </c>
      <c r="K1240" s="1" t="s">
        <v>2252</v>
      </c>
      <c r="L1240" s="1" t="s">
        <v>2261</v>
      </c>
      <c r="M1240">
        <f t="shared" si="133"/>
        <v>700</v>
      </c>
      <c r="N1240" t="str">
        <f t="shared" si="134"/>
        <v>1974-08-05</v>
      </c>
      <c r="O1240">
        <f t="shared" si="135"/>
        <v>38</v>
      </c>
      <c r="P1240" t="str">
        <f t="shared" si="136"/>
        <v>kobieta</v>
      </c>
      <c r="Q1240">
        <f t="shared" si="137"/>
        <v>124</v>
      </c>
      <c r="R1240">
        <f t="shared" si="138"/>
        <v>48</v>
      </c>
      <c r="S1240">
        <f t="shared" ca="1" si="139"/>
        <v>4</v>
      </c>
    </row>
    <row r="1241" spans="1:19">
      <c r="A1241" s="1" t="s">
        <v>19</v>
      </c>
      <c r="B1241" s="2">
        <v>700</v>
      </c>
      <c r="C1241" s="1">
        <v>700</v>
      </c>
      <c r="D1241" s="1" t="s">
        <v>512</v>
      </c>
      <c r="E1241" s="1">
        <v>11</v>
      </c>
      <c r="F1241" s="3">
        <v>3100</v>
      </c>
      <c r="G1241" s="1">
        <v>3</v>
      </c>
      <c r="H1241" s="1" t="s">
        <v>2471</v>
      </c>
      <c r="I1241" s="1" t="s">
        <v>319</v>
      </c>
      <c r="J1241" s="1" t="s">
        <v>16</v>
      </c>
      <c r="K1241" s="1" t="s">
        <v>2252</v>
      </c>
      <c r="L1241" s="1" t="s">
        <v>2261</v>
      </c>
      <c r="M1241">
        <f t="shared" si="133"/>
        <v>700</v>
      </c>
      <c r="N1241" t="str">
        <f t="shared" si="134"/>
        <v>1979-05-21</v>
      </c>
      <c r="O1241">
        <f t="shared" si="135"/>
        <v>33</v>
      </c>
      <c r="P1241" t="str">
        <f t="shared" si="136"/>
        <v>kobieta</v>
      </c>
      <c r="Q1241">
        <f t="shared" si="137"/>
        <v>124</v>
      </c>
      <c r="R1241">
        <f t="shared" si="138"/>
        <v>48</v>
      </c>
      <c r="S1241">
        <f t="shared" ca="1" si="139"/>
        <v>4</v>
      </c>
    </row>
    <row r="1242" spans="1:19">
      <c r="A1242" s="1" t="s">
        <v>12</v>
      </c>
      <c r="B1242" s="2">
        <v>200</v>
      </c>
      <c r="C1242" s="1">
        <v>200</v>
      </c>
      <c r="D1242" s="1" t="s">
        <v>2472</v>
      </c>
      <c r="E1242" s="1">
        <v>12</v>
      </c>
      <c r="F1242" s="3">
        <v>1100</v>
      </c>
      <c r="G1242" s="1">
        <v>0</v>
      </c>
      <c r="H1242" s="1" t="s">
        <v>2473</v>
      </c>
      <c r="I1242" s="1" t="s">
        <v>1390</v>
      </c>
      <c r="J1242" s="1" t="s">
        <v>2474</v>
      </c>
      <c r="K1242" s="1" t="s">
        <v>2252</v>
      </c>
      <c r="L1242" s="1" t="s">
        <v>2350</v>
      </c>
      <c r="M1242">
        <f t="shared" si="133"/>
        <v>200</v>
      </c>
      <c r="N1242" t="str">
        <f t="shared" si="134"/>
        <v>1960-05-19</v>
      </c>
      <c r="O1242">
        <f t="shared" si="135"/>
        <v>52</v>
      </c>
      <c r="P1242" t="str">
        <f t="shared" si="136"/>
        <v>mężczyzna</v>
      </c>
      <c r="Q1242">
        <f t="shared" si="137"/>
        <v>8</v>
      </c>
      <c r="R1242">
        <f t="shared" si="138"/>
        <v>6</v>
      </c>
      <c r="S1242">
        <f t="shared" ca="1" si="139"/>
        <v>1</v>
      </c>
    </row>
    <row r="1243" spans="1:19">
      <c r="A1243" s="1" t="s">
        <v>19</v>
      </c>
      <c r="B1243" s="2">
        <v>738.6</v>
      </c>
      <c r="C1243" s="1">
        <v>738.6</v>
      </c>
      <c r="D1243" s="1" t="s">
        <v>1926</v>
      </c>
      <c r="E1243" s="1">
        <v>12</v>
      </c>
      <c r="F1243" s="3">
        <v>1600</v>
      </c>
      <c r="G1243" s="1">
        <v>1</v>
      </c>
      <c r="H1243" s="1" t="s">
        <v>2475</v>
      </c>
      <c r="I1243" s="1" t="s">
        <v>729</v>
      </c>
      <c r="J1243" s="1" t="s">
        <v>1405</v>
      </c>
      <c r="K1243" s="1" t="s">
        <v>2252</v>
      </c>
      <c r="L1243" s="1" t="s">
        <v>2476</v>
      </c>
      <c r="M1243">
        <f t="shared" si="133"/>
        <v>738.6</v>
      </c>
      <c r="N1243" t="str">
        <f t="shared" si="134"/>
        <v>1956-05-07</v>
      </c>
      <c r="O1243">
        <f t="shared" si="135"/>
        <v>56</v>
      </c>
      <c r="P1243" t="str">
        <f t="shared" si="136"/>
        <v>kobieta</v>
      </c>
      <c r="Q1243">
        <f t="shared" si="137"/>
        <v>13</v>
      </c>
      <c r="R1243">
        <f t="shared" si="138"/>
        <v>4</v>
      </c>
      <c r="S1243">
        <f t="shared" ca="1" si="139"/>
        <v>19</v>
      </c>
    </row>
    <row r="1244" spans="1:19">
      <c r="A1244" s="1" t="s">
        <v>19</v>
      </c>
      <c r="B1244" s="2">
        <v>300</v>
      </c>
      <c r="C1244" s="1">
        <v>300</v>
      </c>
      <c r="D1244" s="1" t="s">
        <v>1502</v>
      </c>
      <c r="E1244" s="1">
        <v>13</v>
      </c>
      <c r="F1244" s="3">
        <v>802.83</v>
      </c>
      <c r="G1244" s="1">
        <v>2</v>
      </c>
      <c r="H1244" s="1" t="s">
        <v>2477</v>
      </c>
      <c r="I1244" s="1" t="s">
        <v>157</v>
      </c>
      <c r="J1244" s="1" t="s">
        <v>16</v>
      </c>
      <c r="K1244" s="1" t="s">
        <v>2252</v>
      </c>
      <c r="L1244" s="1" t="s">
        <v>2350</v>
      </c>
      <c r="M1244">
        <f t="shared" si="133"/>
        <v>300</v>
      </c>
      <c r="N1244" t="str">
        <f t="shared" si="134"/>
        <v>1946-08-20</v>
      </c>
      <c r="O1244">
        <f t="shared" si="135"/>
        <v>66</v>
      </c>
      <c r="P1244" t="str">
        <f t="shared" si="136"/>
        <v>kobieta</v>
      </c>
      <c r="Q1244">
        <f t="shared" si="137"/>
        <v>204</v>
      </c>
      <c r="R1244">
        <f t="shared" si="138"/>
        <v>48</v>
      </c>
      <c r="S1244">
        <f t="shared" ca="1" si="139"/>
        <v>1</v>
      </c>
    </row>
    <row r="1245" spans="1:19">
      <c r="A1245" s="1" t="s">
        <v>24</v>
      </c>
      <c r="B1245" s="2">
        <v>200</v>
      </c>
      <c r="C1245" s="1">
        <v>0</v>
      </c>
      <c r="D1245" s="1" t="s">
        <v>2478</v>
      </c>
      <c r="E1245" s="1">
        <v>17</v>
      </c>
      <c r="F1245" s="3">
        <v>540</v>
      </c>
      <c r="G1245" s="1">
        <v>0</v>
      </c>
      <c r="H1245" s="1" t="s">
        <v>2479</v>
      </c>
      <c r="I1245" s="1" t="s">
        <v>2480</v>
      </c>
      <c r="J1245" s="1" t="s">
        <v>468</v>
      </c>
      <c r="K1245" s="1" t="s">
        <v>16</v>
      </c>
      <c r="L1245" s="1" t="s">
        <v>28</v>
      </c>
      <c r="M1245">
        <f t="shared" si="133"/>
        <v>200</v>
      </c>
      <c r="N1245" t="str">
        <f t="shared" si="134"/>
        <v>1983-10-03</v>
      </c>
      <c r="O1245">
        <f t="shared" si="135"/>
        <v>29</v>
      </c>
      <c r="P1245" t="str">
        <f t="shared" si="136"/>
        <v>kobieta</v>
      </c>
      <c r="Q1245">
        <f t="shared" si="137"/>
        <v>90</v>
      </c>
      <c r="R1245">
        <f t="shared" si="138"/>
        <v>6</v>
      </c>
      <c r="S1245">
        <f t="shared" ca="1" si="139"/>
        <v>0</v>
      </c>
    </row>
    <row r="1246" spans="1:19">
      <c r="A1246" s="1" t="s">
        <v>56</v>
      </c>
      <c r="B1246" s="2">
        <v>800</v>
      </c>
      <c r="C1246" s="1">
        <v>500</v>
      </c>
      <c r="D1246" s="1" t="s">
        <v>2481</v>
      </c>
      <c r="E1246" s="1">
        <v>12</v>
      </c>
      <c r="F1246" s="3">
        <v>1880</v>
      </c>
      <c r="G1246" s="1">
        <v>0</v>
      </c>
      <c r="H1246" s="1" t="s">
        <v>2482</v>
      </c>
      <c r="I1246" s="1" t="s">
        <v>46</v>
      </c>
      <c r="J1246" s="1" t="s">
        <v>2483</v>
      </c>
      <c r="K1246" s="1" t="s">
        <v>2252</v>
      </c>
      <c r="L1246" s="1" t="s">
        <v>28</v>
      </c>
      <c r="M1246">
        <f t="shared" si="133"/>
        <v>500</v>
      </c>
      <c r="N1246" t="str">
        <f t="shared" si="134"/>
        <v>1986-09-21</v>
      </c>
      <c r="O1246">
        <f t="shared" si="135"/>
        <v>26</v>
      </c>
      <c r="P1246" t="str">
        <f t="shared" si="136"/>
        <v>mężczyzna</v>
      </c>
      <c r="Q1246">
        <f t="shared" si="137"/>
        <v>5</v>
      </c>
      <c r="R1246">
        <f t="shared" si="138"/>
        <v>7</v>
      </c>
      <c r="S1246">
        <f t="shared" ca="1" si="139"/>
        <v>5164</v>
      </c>
    </row>
    <row r="1247" spans="1:19">
      <c r="A1247" s="1" t="s">
        <v>19</v>
      </c>
      <c r="B1247" s="2">
        <v>300</v>
      </c>
      <c r="C1247" s="1">
        <v>300</v>
      </c>
      <c r="D1247" s="1" t="s">
        <v>632</v>
      </c>
      <c r="E1247" s="1">
        <v>98</v>
      </c>
      <c r="F1247" s="3">
        <v>911</v>
      </c>
      <c r="G1247" s="1">
        <v>8</v>
      </c>
      <c r="H1247" s="1" t="s">
        <v>2484</v>
      </c>
      <c r="I1247" s="1" t="s">
        <v>634</v>
      </c>
      <c r="J1247" s="1" t="s">
        <v>16</v>
      </c>
      <c r="K1247" s="1" t="s">
        <v>2252</v>
      </c>
      <c r="L1247" s="1" t="s">
        <v>2350</v>
      </c>
      <c r="M1247">
        <f t="shared" si="133"/>
        <v>300</v>
      </c>
      <c r="N1247" t="str">
        <f t="shared" si="134"/>
        <v>1965-04-24</v>
      </c>
      <c r="O1247">
        <f t="shared" si="135"/>
        <v>47</v>
      </c>
      <c r="P1247" t="str">
        <f t="shared" si="136"/>
        <v>kobieta</v>
      </c>
      <c r="Q1247">
        <f t="shared" si="137"/>
        <v>101</v>
      </c>
      <c r="R1247">
        <f t="shared" si="138"/>
        <v>48</v>
      </c>
      <c r="S1247">
        <f t="shared" ca="1" si="139"/>
        <v>1</v>
      </c>
    </row>
    <row r="1248" spans="1:19">
      <c r="A1248" s="1" t="s">
        <v>19</v>
      </c>
      <c r="B1248" s="2">
        <v>390.88</v>
      </c>
      <c r="C1248" s="1">
        <v>390.88</v>
      </c>
      <c r="D1248" s="1" t="s">
        <v>1907</v>
      </c>
      <c r="E1248" s="1">
        <v>13</v>
      </c>
      <c r="F1248" s="3">
        <v>1400</v>
      </c>
      <c r="G1248" s="1">
        <v>1</v>
      </c>
      <c r="H1248" s="1" t="s">
        <v>2485</v>
      </c>
      <c r="I1248" s="1" t="s">
        <v>1844</v>
      </c>
      <c r="J1248" s="1" t="s">
        <v>16</v>
      </c>
      <c r="K1248" s="1" t="s">
        <v>2252</v>
      </c>
      <c r="L1248" s="1" t="s">
        <v>2421</v>
      </c>
      <c r="M1248">
        <f t="shared" si="133"/>
        <v>390.88</v>
      </c>
      <c r="N1248" t="str">
        <f t="shared" si="134"/>
        <v>1952-09-14</v>
      </c>
      <c r="O1248">
        <f t="shared" si="135"/>
        <v>60</v>
      </c>
      <c r="P1248" t="str">
        <f t="shared" si="136"/>
        <v>kobieta</v>
      </c>
      <c r="Q1248">
        <f t="shared" si="137"/>
        <v>49</v>
      </c>
      <c r="R1248">
        <f t="shared" si="138"/>
        <v>48</v>
      </c>
      <c r="S1248">
        <f t="shared" ca="1" si="139"/>
        <v>0</v>
      </c>
    </row>
    <row r="1249" spans="1:19">
      <c r="A1249" s="1" t="s">
        <v>56</v>
      </c>
      <c r="B1249" s="2">
        <v>300</v>
      </c>
      <c r="C1249" s="1">
        <v>300</v>
      </c>
      <c r="D1249" s="1" t="s">
        <v>661</v>
      </c>
      <c r="E1249" s="1">
        <v>12</v>
      </c>
      <c r="F1249" s="3">
        <v>1038.68</v>
      </c>
      <c r="G1249" s="1">
        <v>4</v>
      </c>
      <c r="H1249" s="1" t="s">
        <v>2486</v>
      </c>
      <c r="I1249" s="1" t="s">
        <v>663</v>
      </c>
      <c r="J1249" s="1" t="s">
        <v>246</v>
      </c>
      <c r="K1249" s="1" t="s">
        <v>2252</v>
      </c>
      <c r="L1249" s="1" t="s">
        <v>28</v>
      </c>
      <c r="M1249">
        <f t="shared" si="133"/>
        <v>300</v>
      </c>
      <c r="N1249" t="str">
        <f t="shared" si="134"/>
        <v>1965-11-28</v>
      </c>
      <c r="O1249">
        <f t="shared" si="135"/>
        <v>47</v>
      </c>
      <c r="P1249" t="str">
        <f t="shared" si="136"/>
        <v>kobieta</v>
      </c>
      <c r="Q1249">
        <f t="shared" si="137"/>
        <v>24</v>
      </c>
      <c r="R1249">
        <f t="shared" si="138"/>
        <v>2</v>
      </c>
      <c r="S1249">
        <f t="shared" ca="1" si="139"/>
        <v>5164</v>
      </c>
    </row>
    <row r="1250" spans="1:19">
      <c r="A1250" s="1" t="s">
        <v>19</v>
      </c>
      <c r="B1250" s="2">
        <v>200</v>
      </c>
      <c r="C1250" s="1">
        <v>200</v>
      </c>
      <c r="D1250" s="1" t="s">
        <v>645</v>
      </c>
      <c r="E1250" s="1">
        <v>99</v>
      </c>
      <c r="F1250" s="3">
        <v>780</v>
      </c>
      <c r="G1250" s="1">
        <v>4</v>
      </c>
      <c r="H1250" s="1" t="s">
        <v>2487</v>
      </c>
      <c r="I1250" s="1" t="s">
        <v>647</v>
      </c>
      <c r="J1250" s="1" t="s">
        <v>2188</v>
      </c>
      <c r="K1250" s="1" t="s">
        <v>2252</v>
      </c>
      <c r="L1250" s="1" t="s">
        <v>2261</v>
      </c>
      <c r="M1250">
        <f t="shared" si="133"/>
        <v>200</v>
      </c>
      <c r="N1250" t="str">
        <f t="shared" si="134"/>
        <v>1954-12-19</v>
      </c>
      <c r="O1250">
        <f t="shared" si="135"/>
        <v>58</v>
      </c>
      <c r="P1250" t="str">
        <f t="shared" si="136"/>
        <v>kobieta</v>
      </c>
      <c r="Q1250">
        <f t="shared" si="137"/>
        <v>4</v>
      </c>
      <c r="R1250">
        <f t="shared" si="138"/>
        <v>1</v>
      </c>
      <c r="S1250">
        <f t="shared" ca="1" si="139"/>
        <v>4</v>
      </c>
    </row>
    <row r="1251" spans="1:19">
      <c r="A1251" s="1" t="s">
        <v>19</v>
      </c>
      <c r="B1251" s="2">
        <v>300</v>
      </c>
      <c r="C1251" s="1">
        <v>300</v>
      </c>
      <c r="D1251" s="1" t="s">
        <v>731</v>
      </c>
      <c r="E1251" s="1">
        <v>13</v>
      </c>
      <c r="F1251" s="3">
        <v>1100</v>
      </c>
      <c r="G1251" s="1">
        <v>5</v>
      </c>
      <c r="H1251" s="1" t="s">
        <v>2488</v>
      </c>
      <c r="I1251" s="1" t="s">
        <v>383</v>
      </c>
      <c r="J1251" s="1" t="s">
        <v>16</v>
      </c>
      <c r="K1251" s="1" t="s">
        <v>2252</v>
      </c>
      <c r="L1251" s="1" t="s">
        <v>2234</v>
      </c>
      <c r="M1251">
        <f t="shared" si="133"/>
        <v>300</v>
      </c>
      <c r="N1251" t="str">
        <f t="shared" si="134"/>
        <v>1948-01-24</v>
      </c>
      <c r="O1251">
        <f t="shared" si="135"/>
        <v>64</v>
      </c>
      <c r="P1251" t="str">
        <f t="shared" si="136"/>
        <v>kobieta</v>
      </c>
      <c r="Q1251">
        <f t="shared" si="137"/>
        <v>108</v>
      </c>
      <c r="R1251">
        <f t="shared" si="138"/>
        <v>48</v>
      </c>
      <c r="S1251">
        <f t="shared" ca="1" si="139"/>
        <v>0</v>
      </c>
    </row>
    <row r="1252" spans="1:19">
      <c r="A1252" s="1" t="s">
        <v>19</v>
      </c>
      <c r="B1252" s="2">
        <v>350</v>
      </c>
      <c r="C1252" s="1">
        <v>350</v>
      </c>
      <c r="D1252" s="1" t="s">
        <v>1219</v>
      </c>
      <c r="E1252" s="1">
        <v>11</v>
      </c>
      <c r="F1252" s="3">
        <v>1348.95</v>
      </c>
      <c r="G1252" s="1">
        <v>0</v>
      </c>
      <c r="H1252" s="1" t="s">
        <v>2489</v>
      </c>
      <c r="I1252" s="1" t="s">
        <v>1221</v>
      </c>
      <c r="J1252" s="1" t="s">
        <v>16</v>
      </c>
      <c r="K1252" s="1" t="s">
        <v>2252</v>
      </c>
      <c r="L1252" s="1" t="s">
        <v>2234</v>
      </c>
      <c r="M1252">
        <f t="shared" si="133"/>
        <v>350</v>
      </c>
      <c r="N1252" t="str">
        <f t="shared" si="134"/>
        <v>1938-10-07</v>
      </c>
      <c r="O1252">
        <f t="shared" si="135"/>
        <v>74</v>
      </c>
      <c r="P1252" t="str">
        <f t="shared" si="136"/>
        <v>kobieta</v>
      </c>
      <c r="Q1252">
        <f t="shared" si="137"/>
        <v>117</v>
      </c>
      <c r="R1252">
        <f t="shared" si="138"/>
        <v>48</v>
      </c>
      <c r="S1252">
        <f t="shared" ca="1" si="139"/>
        <v>0</v>
      </c>
    </row>
    <row r="1253" spans="1:19">
      <c r="A1253" s="1" t="s">
        <v>19</v>
      </c>
      <c r="B1253" s="2">
        <v>500</v>
      </c>
      <c r="C1253" s="1">
        <v>500</v>
      </c>
      <c r="D1253" s="1" t="s">
        <v>692</v>
      </c>
      <c r="E1253" s="1">
        <v>17</v>
      </c>
      <c r="F1253" s="3">
        <v>990</v>
      </c>
      <c r="G1253" s="1">
        <v>4</v>
      </c>
      <c r="H1253" s="1" t="s">
        <v>2490</v>
      </c>
      <c r="I1253" s="1" t="s">
        <v>694</v>
      </c>
      <c r="J1253" s="1" t="s">
        <v>695</v>
      </c>
      <c r="K1253" s="1" t="s">
        <v>2252</v>
      </c>
      <c r="L1253" s="1" t="s">
        <v>2350</v>
      </c>
      <c r="M1253">
        <f t="shared" si="133"/>
        <v>500</v>
      </c>
      <c r="N1253" t="str">
        <f t="shared" si="134"/>
        <v>1961-01-31</v>
      </c>
      <c r="O1253">
        <f t="shared" si="135"/>
        <v>51</v>
      </c>
      <c r="P1253" t="str">
        <f t="shared" si="136"/>
        <v>kobieta</v>
      </c>
      <c r="Q1253">
        <f t="shared" si="137"/>
        <v>75</v>
      </c>
      <c r="R1253">
        <f t="shared" si="138"/>
        <v>10</v>
      </c>
      <c r="S1253">
        <f t="shared" ca="1" si="139"/>
        <v>1</v>
      </c>
    </row>
    <row r="1254" spans="1:19">
      <c r="A1254" s="1" t="s">
        <v>19</v>
      </c>
      <c r="B1254" s="2">
        <v>349.66</v>
      </c>
      <c r="C1254" s="1">
        <v>349.66</v>
      </c>
      <c r="D1254" s="1" t="s">
        <v>559</v>
      </c>
      <c r="E1254" s="1">
        <v>13</v>
      </c>
      <c r="F1254" s="3">
        <v>1601.87</v>
      </c>
      <c r="G1254" s="1">
        <v>4</v>
      </c>
      <c r="H1254" s="1" t="s">
        <v>2491</v>
      </c>
      <c r="I1254" s="1" t="s">
        <v>561</v>
      </c>
      <c r="J1254" s="1" t="s">
        <v>16</v>
      </c>
      <c r="K1254" s="1" t="s">
        <v>2252</v>
      </c>
      <c r="L1254" s="1" t="s">
        <v>2393</v>
      </c>
      <c r="M1254">
        <f t="shared" si="133"/>
        <v>349.66</v>
      </c>
      <c r="N1254" t="str">
        <f t="shared" si="134"/>
        <v>1947-10-25</v>
      </c>
      <c r="O1254">
        <f t="shared" si="135"/>
        <v>65</v>
      </c>
      <c r="P1254" t="str">
        <f t="shared" si="136"/>
        <v>mężczyzna</v>
      </c>
      <c r="Q1254">
        <f t="shared" si="137"/>
        <v>48</v>
      </c>
      <c r="R1254">
        <f t="shared" si="138"/>
        <v>48</v>
      </c>
      <c r="S1254">
        <f t="shared" ca="1" si="139"/>
        <v>5</v>
      </c>
    </row>
    <row r="1255" spans="1:19">
      <c r="A1255" s="1" t="s">
        <v>12</v>
      </c>
      <c r="B1255" s="2">
        <v>2000</v>
      </c>
      <c r="C1255" s="1">
        <v>2000</v>
      </c>
      <c r="D1255" s="1" t="s">
        <v>1782</v>
      </c>
      <c r="E1255" s="1">
        <v>98</v>
      </c>
      <c r="F1255" s="3">
        <v>20000</v>
      </c>
      <c r="G1255" s="1">
        <v>1</v>
      </c>
      <c r="H1255" s="1" t="s">
        <v>2492</v>
      </c>
      <c r="I1255" s="1" t="s">
        <v>1784</v>
      </c>
      <c r="J1255" s="1" t="s">
        <v>16</v>
      </c>
      <c r="K1255" s="1" t="s">
        <v>2252</v>
      </c>
      <c r="L1255" s="1" t="s">
        <v>2261</v>
      </c>
      <c r="M1255">
        <f t="shared" si="133"/>
        <v>2000</v>
      </c>
      <c r="N1255" t="str">
        <f t="shared" si="134"/>
        <v>1954-01-22</v>
      </c>
      <c r="O1255">
        <f t="shared" si="135"/>
        <v>58</v>
      </c>
      <c r="P1255" t="str">
        <f t="shared" si="136"/>
        <v>mężczyzna</v>
      </c>
      <c r="Q1255">
        <f t="shared" si="137"/>
        <v>133</v>
      </c>
      <c r="R1255">
        <f t="shared" si="138"/>
        <v>48</v>
      </c>
      <c r="S1255">
        <f t="shared" ca="1" si="139"/>
        <v>4</v>
      </c>
    </row>
    <row r="1256" spans="1:19">
      <c r="A1256" s="1" t="s">
        <v>19</v>
      </c>
      <c r="B1256" s="2">
        <v>400</v>
      </c>
      <c r="C1256" s="1">
        <v>400</v>
      </c>
      <c r="D1256" s="1" t="s">
        <v>704</v>
      </c>
      <c r="E1256" s="1">
        <v>16</v>
      </c>
      <c r="F1256" s="3">
        <v>1473.04</v>
      </c>
      <c r="G1256" s="1">
        <v>5</v>
      </c>
      <c r="H1256" s="1" t="s">
        <v>2493</v>
      </c>
      <c r="I1256" s="1" t="s">
        <v>706</v>
      </c>
      <c r="J1256" s="1" t="s">
        <v>16</v>
      </c>
      <c r="K1256" s="1" t="s">
        <v>2252</v>
      </c>
      <c r="L1256" s="1" t="s">
        <v>2421</v>
      </c>
      <c r="M1256">
        <f t="shared" si="133"/>
        <v>400</v>
      </c>
      <c r="N1256" t="str">
        <f t="shared" si="134"/>
        <v>1946-09-02</v>
      </c>
      <c r="O1256">
        <f t="shared" si="135"/>
        <v>66</v>
      </c>
      <c r="P1256" t="str">
        <f t="shared" si="136"/>
        <v>mężczyzna</v>
      </c>
      <c r="Q1256">
        <f t="shared" si="137"/>
        <v>168</v>
      </c>
      <c r="R1256">
        <f t="shared" si="138"/>
        <v>48</v>
      </c>
      <c r="S1256">
        <f t="shared" ca="1" si="139"/>
        <v>0</v>
      </c>
    </row>
    <row r="1257" spans="1:19">
      <c r="A1257" s="1" t="s">
        <v>19</v>
      </c>
      <c r="B1257" s="2">
        <v>257.27</v>
      </c>
      <c r="C1257" s="1">
        <v>257.27</v>
      </c>
      <c r="D1257" s="1" t="s">
        <v>681</v>
      </c>
      <c r="E1257" s="1">
        <v>11</v>
      </c>
      <c r="F1257" s="3">
        <v>2100</v>
      </c>
      <c r="G1257" s="1">
        <v>5</v>
      </c>
      <c r="H1257" s="1" t="s">
        <v>2494</v>
      </c>
      <c r="I1257" s="1" t="s">
        <v>683</v>
      </c>
      <c r="J1257" s="1" t="s">
        <v>16</v>
      </c>
      <c r="K1257" s="1" t="s">
        <v>2252</v>
      </c>
      <c r="L1257" s="1" t="s">
        <v>2261</v>
      </c>
      <c r="M1257">
        <f t="shared" si="133"/>
        <v>257.27</v>
      </c>
      <c r="N1257" t="str">
        <f t="shared" si="134"/>
        <v>1957-01-09</v>
      </c>
      <c r="O1257">
        <f t="shared" si="135"/>
        <v>55</v>
      </c>
      <c r="P1257" t="str">
        <f t="shared" si="136"/>
        <v>mężczyzna</v>
      </c>
      <c r="Q1257">
        <f t="shared" si="137"/>
        <v>41</v>
      </c>
      <c r="R1257">
        <f t="shared" si="138"/>
        <v>48</v>
      </c>
      <c r="S1257">
        <f t="shared" ca="1" si="139"/>
        <v>4</v>
      </c>
    </row>
    <row r="1258" spans="1:19">
      <c r="A1258" s="1" t="s">
        <v>19</v>
      </c>
      <c r="B1258" s="2">
        <v>600</v>
      </c>
      <c r="C1258" s="1">
        <v>600</v>
      </c>
      <c r="D1258" s="1" t="s">
        <v>785</v>
      </c>
      <c r="E1258" s="1">
        <v>13</v>
      </c>
      <c r="F1258" s="3">
        <v>1233</v>
      </c>
      <c r="G1258" s="1">
        <v>1</v>
      </c>
      <c r="H1258" s="1" t="s">
        <v>2495</v>
      </c>
      <c r="I1258" s="1" t="s">
        <v>787</v>
      </c>
      <c r="J1258" s="1" t="s">
        <v>16</v>
      </c>
      <c r="K1258" s="1" t="s">
        <v>2496</v>
      </c>
      <c r="L1258" s="1" t="s">
        <v>2421</v>
      </c>
      <c r="M1258">
        <f t="shared" si="133"/>
        <v>600</v>
      </c>
      <c r="N1258" t="str">
        <f t="shared" si="134"/>
        <v>1948-04-24</v>
      </c>
      <c r="O1258">
        <f t="shared" si="135"/>
        <v>64</v>
      </c>
      <c r="P1258" t="str">
        <f t="shared" si="136"/>
        <v>kobieta</v>
      </c>
      <c r="Q1258">
        <f t="shared" si="137"/>
        <v>127</v>
      </c>
      <c r="R1258">
        <f t="shared" si="138"/>
        <v>48</v>
      </c>
      <c r="S1258">
        <f t="shared" ca="1" si="139"/>
        <v>0</v>
      </c>
    </row>
    <row r="1259" spans="1:19">
      <c r="A1259" s="1" t="s">
        <v>19</v>
      </c>
      <c r="B1259" s="2">
        <v>215.24</v>
      </c>
      <c r="C1259" s="1">
        <v>215.24</v>
      </c>
      <c r="D1259" s="1" t="s">
        <v>701</v>
      </c>
      <c r="E1259" s="1">
        <v>16</v>
      </c>
      <c r="F1259" s="3">
        <v>1045</v>
      </c>
      <c r="G1259" s="1">
        <v>7</v>
      </c>
      <c r="H1259" s="1" t="s">
        <v>2497</v>
      </c>
      <c r="I1259" s="1" t="s">
        <v>703</v>
      </c>
      <c r="J1259" s="1" t="s">
        <v>16</v>
      </c>
      <c r="K1259" s="1" t="s">
        <v>2496</v>
      </c>
      <c r="L1259" s="1" t="s">
        <v>2261</v>
      </c>
      <c r="M1259">
        <f t="shared" si="133"/>
        <v>215.24</v>
      </c>
      <c r="N1259" t="str">
        <f t="shared" si="134"/>
        <v>1961-06-04</v>
      </c>
      <c r="O1259">
        <f t="shared" si="135"/>
        <v>51</v>
      </c>
      <c r="P1259" t="str">
        <f t="shared" si="136"/>
        <v>mężczyzna</v>
      </c>
      <c r="Q1259">
        <f t="shared" si="137"/>
        <v>203</v>
      </c>
      <c r="R1259">
        <f t="shared" si="138"/>
        <v>48</v>
      </c>
      <c r="S1259">
        <f t="shared" ca="1" si="139"/>
        <v>3</v>
      </c>
    </row>
    <row r="1260" spans="1:19">
      <c r="A1260" s="1" t="s">
        <v>19</v>
      </c>
      <c r="B1260" s="2">
        <v>200</v>
      </c>
      <c r="C1260" s="1">
        <v>200</v>
      </c>
      <c r="D1260" s="1" t="s">
        <v>777</v>
      </c>
      <c r="E1260" s="1">
        <v>16</v>
      </c>
      <c r="F1260" s="3">
        <v>634</v>
      </c>
      <c r="G1260" s="1">
        <v>7</v>
      </c>
      <c r="H1260" s="1" t="s">
        <v>2498</v>
      </c>
      <c r="I1260" s="1" t="s">
        <v>425</v>
      </c>
      <c r="J1260" s="1" t="s">
        <v>16</v>
      </c>
      <c r="K1260" s="1" t="s">
        <v>2496</v>
      </c>
      <c r="L1260" s="1" t="s">
        <v>2350</v>
      </c>
      <c r="M1260">
        <f t="shared" si="133"/>
        <v>200</v>
      </c>
      <c r="N1260" t="str">
        <f t="shared" si="134"/>
        <v>1953-09-06</v>
      </c>
      <c r="O1260">
        <f t="shared" si="135"/>
        <v>59</v>
      </c>
      <c r="P1260" t="str">
        <f t="shared" si="136"/>
        <v>kobieta</v>
      </c>
      <c r="Q1260">
        <f t="shared" si="137"/>
        <v>55</v>
      </c>
      <c r="R1260">
        <f t="shared" si="138"/>
        <v>48</v>
      </c>
      <c r="S1260">
        <f t="shared" ca="1" si="139"/>
        <v>0</v>
      </c>
    </row>
    <row r="1261" spans="1:19">
      <c r="A1261" s="1" t="s">
        <v>19</v>
      </c>
      <c r="B1261" s="2">
        <v>600</v>
      </c>
      <c r="C1261" s="1">
        <v>300</v>
      </c>
      <c r="D1261" s="1" t="s">
        <v>2499</v>
      </c>
      <c r="E1261" s="1">
        <v>13</v>
      </c>
      <c r="F1261" s="3">
        <v>1582.15</v>
      </c>
      <c r="G1261" s="1">
        <v>0</v>
      </c>
      <c r="H1261" s="1" t="s">
        <v>2500</v>
      </c>
      <c r="I1261" s="1" t="s">
        <v>383</v>
      </c>
      <c r="J1261" s="1" t="s">
        <v>16</v>
      </c>
      <c r="K1261" s="1" t="s">
        <v>2496</v>
      </c>
      <c r="L1261" s="1" t="s">
        <v>2350</v>
      </c>
      <c r="M1261">
        <f t="shared" si="133"/>
        <v>300</v>
      </c>
      <c r="N1261" t="str">
        <f t="shared" si="134"/>
        <v>1947-02-16</v>
      </c>
      <c r="O1261">
        <f t="shared" si="135"/>
        <v>65</v>
      </c>
      <c r="P1261" t="str">
        <f t="shared" si="136"/>
        <v>kobieta</v>
      </c>
      <c r="Q1261">
        <f t="shared" si="137"/>
        <v>109</v>
      </c>
      <c r="R1261">
        <f t="shared" si="138"/>
        <v>48</v>
      </c>
      <c r="S1261">
        <f t="shared" ca="1" si="139"/>
        <v>0</v>
      </c>
    </row>
    <row r="1262" spans="1:19">
      <c r="A1262" s="1" t="s">
        <v>12</v>
      </c>
      <c r="B1262" s="2">
        <v>500</v>
      </c>
      <c r="C1262" s="1">
        <v>300</v>
      </c>
      <c r="D1262" s="1" t="s">
        <v>2501</v>
      </c>
      <c r="E1262" s="1">
        <v>16</v>
      </c>
      <c r="F1262" s="3">
        <v>1398</v>
      </c>
      <c r="G1262" s="1">
        <v>0</v>
      </c>
      <c r="H1262" s="1" t="s">
        <v>2502</v>
      </c>
      <c r="I1262" s="1" t="s">
        <v>2503</v>
      </c>
      <c r="J1262" s="1" t="s">
        <v>16</v>
      </c>
      <c r="K1262" s="1" t="s">
        <v>2496</v>
      </c>
      <c r="L1262" s="1" t="s">
        <v>1381</v>
      </c>
      <c r="M1262">
        <f t="shared" si="133"/>
        <v>300</v>
      </c>
      <c r="N1262" t="str">
        <f t="shared" si="134"/>
        <v>1951-06-11</v>
      </c>
      <c r="O1262">
        <f t="shared" si="135"/>
        <v>61</v>
      </c>
      <c r="P1262" t="str">
        <f t="shared" si="136"/>
        <v>mężczyzna</v>
      </c>
      <c r="Q1262">
        <f t="shared" si="137"/>
        <v>397</v>
      </c>
      <c r="R1262">
        <f t="shared" si="138"/>
        <v>48</v>
      </c>
      <c r="S1262">
        <f t="shared" ca="1" si="139"/>
        <v>5</v>
      </c>
    </row>
    <row r="1263" spans="1:19">
      <c r="A1263" s="1" t="s">
        <v>19</v>
      </c>
      <c r="B1263" s="2">
        <v>600</v>
      </c>
      <c r="C1263" s="1">
        <v>600</v>
      </c>
      <c r="D1263" s="1" t="s">
        <v>969</v>
      </c>
      <c r="E1263" s="1">
        <v>16</v>
      </c>
      <c r="F1263" s="3">
        <v>837</v>
      </c>
      <c r="G1263" s="1">
        <v>0</v>
      </c>
      <c r="H1263" s="1" t="s">
        <v>2504</v>
      </c>
      <c r="I1263" s="1" t="s">
        <v>971</v>
      </c>
      <c r="J1263" s="1" t="s">
        <v>16</v>
      </c>
      <c r="K1263" s="1" t="s">
        <v>2496</v>
      </c>
      <c r="L1263" s="1" t="s">
        <v>2350</v>
      </c>
      <c r="M1263">
        <f t="shared" si="133"/>
        <v>600</v>
      </c>
      <c r="N1263" t="str">
        <f t="shared" si="134"/>
        <v>1950-11-07</v>
      </c>
      <c r="O1263">
        <f t="shared" si="135"/>
        <v>62</v>
      </c>
      <c r="P1263" t="str">
        <f t="shared" si="136"/>
        <v>mężczyzna</v>
      </c>
      <c r="Q1263">
        <f t="shared" si="137"/>
        <v>235</v>
      </c>
      <c r="R1263">
        <f t="shared" si="138"/>
        <v>48</v>
      </c>
      <c r="S1263">
        <f t="shared" ca="1" si="139"/>
        <v>0</v>
      </c>
    </row>
    <row r="1264" spans="1:19">
      <c r="A1264" s="1" t="s">
        <v>19</v>
      </c>
      <c r="B1264" s="2">
        <v>400</v>
      </c>
      <c r="C1264" s="1">
        <v>400</v>
      </c>
      <c r="D1264" s="1" t="s">
        <v>828</v>
      </c>
      <c r="E1264" s="1">
        <v>13</v>
      </c>
      <c r="F1264" s="3">
        <v>1500</v>
      </c>
      <c r="G1264" s="1">
        <v>4</v>
      </c>
      <c r="H1264" s="1" t="s">
        <v>2505</v>
      </c>
      <c r="I1264" s="1" t="s">
        <v>830</v>
      </c>
      <c r="J1264" s="1" t="s">
        <v>16</v>
      </c>
      <c r="K1264" s="1" t="s">
        <v>2496</v>
      </c>
      <c r="L1264" s="1" t="s">
        <v>2506</v>
      </c>
      <c r="M1264">
        <f t="shared" si="133"/>
        <v>400</v>
      </c>
      <c r="N1264" t="str">
        <f t="shared" si="134"/>
        <v>1951-06-24</v>
      </c>
      <c r="O1264">
        <f t="shared" si="135"/>
        <v>61</v>
      </c>
      <c r="P1264" t="str">
        <f t="shared" si="136"/>
        <v>kobieta</v>
      </c>
      <c r="Q1264">
        <f t="shared" si="137"/>
        <v>64</v>
      </c>
      <c r="R1264">
        <f t="shared" si="138"/>
        <v>48</v>
      </c>
      <c r="S1264">
        <f t="shared" ca="1" si="139"/>
        <v>10</v>
      </c>
    </row>
    <row r="1265" spans="1:19">
      <c r="A1265" s="1" t="s">
        <v>12</v>
      </c>
      <c r="B1265" s="2">
        <v>693.16</v>
      </c>
      <c r="C1265" s="1">
        <v>693.16</v>
      </c>
      <c r="D1265" s="1" t="s">
        <v>566</v>
      </c>
      <c r="E1265" s="1">
        <v>11</v>
      </c>
      <c r="F1265" s="3">
        <v>2200</v>
      </c>
      <c r="G1265" s="1">
        <v>4</v>
      </c>
      <c r="H1265" s="1" t="s">
        <v>2507</v>
      </c>
      <c r="I1265" s="1" t="s">
        <v>34</v>
      </c>
      <c r="J1265" s="1" t="s">
        <v>16</v>
      </c>
      <c r="K1265" s="1" t="s">
        <v>2496</v>
      </c>
      <c r="L1265" s="1" t="s">
        <v>1992</v>
      </c>
      <c r="M1265">
        <f t="shared" si="133"/>
        <v>693.16</v>
      </c>
      <c r="N1265" t="str">
        <f t="shared" si="134"/>
        <v>1978-01-28</v>
      </c>
      <c r="O1265">
        <f t="shared" si="135"/>
        <v>34</v>
      </c>
      <c r="P1265" t="str">
        <f t="shared" si="136"/>
        <v>kobieta</v>
      </c>
      <c r="Q1265">
        <f t="shared" si="137"/>
        <v>41</v>
      </c>
      <c r="R1265">
        <f t="shared" si="138"/>
        <v>48</v>
      </c>
      <c r="S1265">
        <f t="shared" ca="1" si="139"/>
        <v>0</v>
      </c>
    </row>
    <row r="1266" spans="1:19">
      <c r="A1266" s="1" t="s">
        <v>12</v>
      </c>
      <c r="B1266" s="2">
        <v>200</v>
      </c>
      <c r="C1266" s="1">
        <v>200</v>
      </c>
      <c r="D1266" s="1" t="s">
        <v>484</v>
      </c>
      <c r="E1266" s="1">
        <v>11</v>
      </c>
      <c r="F1266" s="3">
        <v>2505</v>
      </c>
      <c r="G1266" s="1">
        <v>2</v>
      </c>
      <c r="H1266" s="1" t="s">
        <v>2508</v>
      </c>
      <c r="I1266" s="1" t="s">
        <v>486</v>
      </c>
      <c r="J1266" s="1" t="s">
        <v>16</v>
      </c>
      <c r="K1266" s="1" t="s">
        <v>2496</v>
      </c>
      <c r="L1266" s="1" t="s">
        <v>2350</v>
      </c>
      <c r="M1266">
        <f t="shared" si="133"/>
        <v>200</v>
      </c>
      <c r="N1266" t="str">
        <f t="shared" si="134"/>
        <v>1971-12-06</v>
      </c>
      <c r="O1266">
        <f t="shared" si="135"/>
        <v>41</v>
      </c>
      <c r="P1266" t="str">
        <f t="shared" si="136"/>
        <v>kobieta</v>
      </c>
      <c r="Q1266">
        <f t="shared" si="137"/>
        <v>168</v>
      </c>
      <c r="R1266">
        <f t="shared" si="138"/>
        <v>48</v>
      </c>
      <c r="S1266">
        <f t="shared" ca="1" si="139"/>
        <v>0</v>
      </c>
    </row>
    <row r="1267" spans="1:19">
      <c r="A1267" s="1" t="s">
        <v>24</v>
      </c>
      <c r="B1267" s="2">
        <v>500</v>
      </c>
      <c r="C1267" s="1">
        <v>0</v>
      </c>
      <c r="D1267" s="1" t="s">
        <v>2509</v>
      </c>
      <c r="E1267" s="1">
        <v>99</v>
      </c>
      <c r="F1267" s="3">
        <v>1200</v>
      </c>
      <c r="G1267" s="1">
        <v>0</v>
      </c>
      <c r="H1267" s="1" t="s">
        <v>2510</v>
      </c>
      <c r="I1267" s="1" t="s">
        <v>2511</v>
      </c>
      <c r="J1267" s="1" t="s">
        <v>2108</v>
      </c>
      <c r="K1267" s="1" t="s">
        <v>16</v>
      </c>
      <c r="L1267" s="1" t="s">
        <v>28</v>
      </c>
      <c r="M1267">
        <f t="shared" si="133"/>
        <v>500</v>
      </c>
      <c r="N1267" t="str">
        <f t="shared" si="134"/>
        <v>1980-08-01</v>
      </c>
      <c r="O1267">
        <f t="shared" si="135"/>
        <v>32</v>
      </c>
      <c r="P1267" t="str">
        <f t="shared" si="136"/>
        <v>kobieta</v>
      </c>
      <c r="Q1267">
        <f t="shared" si="137"/>
        <v>3</v>
      </c>
      <c r="R1267">
        <f t="shared" si="138"/>
        <v>10</v>
      </c>
      <c r="S1267">
        <f t="shared" ca="1" si="139"/>
        <v>0</v>
      </c>
    </row>
    <row r="1268" spans="1:19">
      <c r="A1268" s="1" t="s">
        <v>19</v>
      </c>
      <c r="B1268" s="2">
        <v>500</v>
      </c>
      <c r="C1268" s="1">
        <v>400</v>
      </c>
      <c r="D1268" s="1" t="s">
        <v>249</v>
      </c>
      <c r="E1268" s="1">
        <v>17</v>
      </c>
      <c r="F1268" s="3">
        <v>1200</v>
      </c>
      <c r="G1268" s="1">
        <v>0</v>
      </c>
      <c r="H1268" s="1" t="s">
        <v>2512</v>
      </c>
      <c r="I1268" s="1" t="s">
        <v>251</v>
      </c>
      <c r="J1268" s="1" t="s">
        <v>252</v>
      </c>
      <c r="K1268" s="1" t="s">
        <v>2496</v>
      </c>
      <c r="L1268" s="1" t="s">
        <v>2513</v>
      </c>
      <c r="M1268">
        <f t="shared" si="133"/>
        <v>400</v>
      </c>
      <c r="N1268" t="str">
        <f t="shared" si="134"/>
        <v>1986-10-25</v>
      </c>
      <c r="O1268">
        <f t="shared" si="135"/>
        <v>26</v>
      </c>
      <c r="P1268" t="str">
        <f t="shared" si="136"/>
        <v>kobieta</v>
      </c>
      <c r="Q1268">
        <f t="shared" si="137"/>
        <v>169</v>
      </c>
      <c r="R1268">
        <f t="shared" si="138"/>
        <v>11</v>
      </c>
      <c r="S1268">
        <f t="shared" ca="1" si="139"/>
        <v>1</v>
      </c>
    </row>
    <row r="1269" spans="1:19">
      <c r="A1269" s="1" t="s">
        <v>19</v>
      </c>
      <c r="B1269" s="2">
        <v>200</v>
      </c>
      <c r="C1269" s="1">
        <v>200</v>
      </c>
      <c r="D1269" s="1" t="s">
        <v>1521</v>
      </c>
      <c r="E1269" s="1">
        <v>13</v>
      </c>
      <c r="F1269" s="3">
        <v>1642.87</v>
      </c>
      <c r="G1269" s="1">
        <v>2</v>
      </c>
      <c r="H1269" s="1" t="s">
        <v>2514</v>
      </c>
      <c r="I1269" s="1" t="s">
        <v>328</v>
      </c>
      <c r="J1269" s="1" t="s">
        <v>16</v>
      </c>
      <c r="K1269" s="1" t="s">
        <v>2515</v>
      </c>
      <c r="L1269" s="1" t="s">
        <v>2234</v>
      </c>
      <c r="M1269">
        <f t="shared" si="133"/>
        <v>200</v>
      </c>
      <c r="N1269" t="str">
        <f t="shared" si="134"/>
        <v>1941-02-26</v>
      </c>
      <c r="O1269">
        <f t="shared" si="135"/>
        <v>71</v>
      </c>
      <c r="P1269" t="str">
        <f t="shared" si="136"/>
        <v>mężczyzna</v>
      </c>
      <c r="Q1269">
        <f t="shared" si="137"/>
        <v>73</v>
      </c>
      <c r="R1269">
        <f t="shared" si="138"/>
        <v>48</v>
      </c>
      <c r="S1269">
        <f t="shared" ca="1" si="139"/>
        <v>0</v>
      </c>
    </row>
    <row r="1270" spans="1:19">
      <c r="A1270" s="1" t="s">
        <v>19</v>
      </c>
      <c r="B1270" s="2">
        <v>700</v>
      </c>
      <c r="C1270" s="1">
        <v>600</v>
      </c>
      <c r="D1270" s="1" t="s">
        <v>826</v>
      </c>
      <c r="E1270" s="1">
        <v>16</v>
      </c>
      <c r="F1270" s="3">
        <v>2150</v>
      </c>
      <c r="G1270" s="1">
        <v>0</v>
      </c>
      <c r="H1270" s="1" t="s">
        <v>2516</v>
      </c>
      <c r="I1270" s="1" t="s">
        <v>474</v>
      </c>
      <c r="J1270" s="1" t="s">
        <v>16</v>
      </c>
      <c r="K1270" s="1" t="s">
        <v>2515</v>
      </c>
      <c r="L1270" s="1" t="s">
        <v>2393</v>
      </c>
      <c r="M1270">
        <f t="shared" si="133"/>
        <v>600</v>
      </c>
      <c r="N1270" t="str">
        <f t="shared" si="134"/>
        <v>1961-07-18</v>
      </c>
      <c r="O1270">
        <f t="shared" si="135"/>
        <v>51</v>
      </c>
      <c r="P1270" t="str">
        <f t="shared" si="136"/>
        <v>mężczyzna</v>
      </c>
      <c r="Q1270">
        <f t="shared" si="137"/>
        <v>85</v>
      </c>
      <c r="R1270">
        <f t="shared" si="138"/>
        <v>48</v>
      </c>
      <c r="S1270">
        <f t="shared" ca="1" si="139"/>
        <v>3</v>
      </c>
    </row>
    <row r="1271" spans="1:19">
      <c r="A1271" s="1" t="s">
        <v>19</v>
      </c>
      <c r="B1271" s="2">
        <v>300</v>
      </c>
      <c r="C1271" s="1">
        <v>300</v>
      </c>
      <c r="D1271" s="1" t="s">
        <v>420</v>
      </c>
      <c r="E1271" s="1">
        <v>13</v>
      </c>
      <c r="F1271" s="3">
        <v>714</v>
      </c>
      <c r="G1271" s="1">
        <v>1</v>
      </c>
      <c r="H1271" s="1" t="s">
        <v>2517</v>
      </c>
      <c r="I1271" s="1" t="s">
        <v>422</v>
      </c>
      <c r="J1271" s="1" t="s">
        <v>16</v>
      </c>
      <c r="K1271" s="1" t="s">
        <v>2515</v>
      </c>
      <c r="L1271" s="1" t="s">
        <v>2057</v>
      </c>
      <c r="M1271">
        <f t="shared" si="133"/>
        <v>300</v>
      </c>
      <c r="N1271" t="str">
        <f t="shared" si="134"/>
        <v>1949-07-16</v>
      </c>
      <c r="O1271">
        <f t="shared" si="135"/>
        <v>63</v>
      </c>
      <c r="P1271" t="str">
        <f t="shared" si="136"/>
        <v>kobieta</v>
      </c>
      <c r="Q1271">
        <f t="shared" si="137"/>
        <v>226</v>
      </c>
      <c r="R1271">
        <f t="shared" si="138"/>
        <v>48</v>
      </c>
      <c r="S1271">
        <f t="shared" ca="1" si="139"/>
        <v>0</v>
      </c>
    </row>
    <row r="1272" spans="1:19">
      <c r="A1272" s="1" t="s">
        <v>19</v>
      </c>
      <c r="B1272" s="2">
        <v>1000</v>
      </c>
      <c r="C1272" s="1">
        <v>1000</v>
      </c>
      <c r="D1272" s="1" t="s">
        <v>859</v>
      </c>
      <c r="E1272" s="1">
        <v>98</v>
      </c>
      <c r="F1272" s="3">
        <v>6000</v>
      </c>
      <c r="G1272" s="1">
        <v>4</v>
      </c>
      <c r="H1272" s="1" t="s">
        <v>2518</v>
      </c>
      <c r="I1272" s="1" t="s">
        <v>435</v>
      </c>
      <c r="J1272" s="1" t="s">
        <v>16</v>
      </c>
      <c r="K1272" s="1" t="s">
        <v>2515</v>
      </c>
      <c r="L1272" s="1" t="s">
        <v>1381</v>
      </c>
      <c r="M1272">
        <f t="shared" si="133"/>
        <v>1000</v>
      </c>
      <c r="N1272" t="str">
        <f t="shared" si="134"/>
        <v>1970-07-23</v>
      </c>
      <c r="O1272">
        <f t="shared" si="135"/>
        <v>42</v>
      </c>
      <c r="P1272" t="str">
        <f t="shared" si="136"/>
        <v>kobieta</v>
      </c>
      <c r="Q1272">
        <f t="shared" si="137"/>
        <v>21</v>
      </c>
      <c r="R1272">
        <f t="shared" si="138"/>
        <v>48</v>
      </c>
      <c r="S1272">
        <f t="shared" ca="1" si="139"/>
        <v>4</v>
      </c>
    </row>
    <row r="1273" spans="1:19">
      <c r="A1273" s="1" t="s">
        <v>19</v>
      </c>
      <c r="B1273" s="2">
        <v>700</v>
      </c>
      <c r="C1273" s="1">
        <v>700</v>
      </c>
      <c r="D1273" s="1" t="s">
        <v>606</v>
      </c>
      <c r="E1273" s="1">
        <v>13</v>
      </c>
      <c r="F1273" s="3">
        <v>1872</v>
      </c>
      <c r="G1273" s="1">
        <v>8</v>
      </c>
      <c r="H1273" s="1" t="s">
        <v>2519</v>
      </c>
      <c r="I1273" s="1" t="s">
        <v>608</v>
      </c>
      <c r="J1273" s="1" t="s">
        <v>16</v>
      </c>
      <c r="K1273" s="1" t="s">
        <v>2515</v>
      </c>
      <c r="L1273" s="1" t="s">
        <v>2350</v>
      </c>
      <c r="M1273">
        <f t="shared" si="133"/>
        <v>700</v>
      </c>
      <c r="N1273" t="str">
        <f t="shared" si="134"/>
        <v>1953-06-21</v>
      </c>
      <c r="O1273">
        <f t="shared" si="135"/>
        <v>59</v>
      </c>
      <c r="P1273" t="str">
        <f t="shared" si="136"/>
        <v>kobieta</v>
      </c>
      <c r="Q1273">
        <f t="shared" si="137"/>
        <v>39</v>
      </c>
      <c r="R1273">
        <f t="shared" si="138"/>
        <v>48</v>
      </c>
      <c r="S1273">
        <f t="shared" ca="1" si="139"/>
        <v>0</v>
      </c>
    </row>
    <row r="1274" spans="1:19">
      <c r="A1274" s="1" t="s">
        <v>24</v>
      </c>
      <c r="B1274" s="2">
        <v>1000</v>
      </c>
      <c r="C1274" s="1">
        <v>0</v>
      </c>
      <c r="D1274" s="1" t="s">
        <v>2520</v>
      </c>
      <c r="E1274" s="1">
        <v>12</v>
      </c>
      <c r="F1274" s="3">
        <v>1300</v>
      </c>
      <c r="G1274" s="1">
        <v>0</v>
      </c>
      <c r="H1274" s="1" t="s">
        <v>2521</v>
      </c>
      <c r="I1274" s="1" t="s">
        <v>916</v>
      </c>
      <c r="J1274" s="1" t="s">
        <v>2522</v>
      </c>
      <c r="K1274" s="1" t="s">
        <v>16</v>
      </c>
      <c r="L1274" s="1" t="s">
        <v>28</v>
      </c>
      <c r="M1274">
        <f t="shared" si="133"/>
        <v>1000</v>
      </c>
      <c r="N1274" t="str">
        <f t="shared" si="134"/>
        <v>1968-05-27</v>
      </c>
      <c r="O1274">
        <f t="shared" si="135"/>
        <v>44</v>
      </c>
      <c r="P1274" t="str">
        <f t="shared" si="136"/>
        <v>kobieta</v>
      </c>
      <c r="Q1274">
        <f t="shared" si="137"/>
        <v>61</v>
      </c>
      <c r="R1274">
        <f t="shared" si="138"/>
        <v>22</v>
      </c>
      <c r="S1274">
        <f t="shared" ca="1" si="139"/>
        <v>0</v>
      </c>
    </row>
    <row r="1275" spans="1:19">
      <c r="A1275" s="1" t="s">
        <v>12</v>
      </c>
      <c r="B1275" s="2">
        <v>600</v>
      </c>
      <c r="C1275" s="1">
        <v>600</v>
      </c>
      <c r="D1275" s="1" t="s">
        <v>1174</v>
      </c>
      <c r="E1275" s="1">
        <v>11</v>
      </c>
      <c r="F1275" s="3">
        <v>1300</v>
      </c>
      <c r="G1275" s="1">
        <v>0</v>
      </c>
      <c r="H1275" s="1" t="s">
        <v>2523</v>
      </c>
      <c r="I1275" s="1" t="s">
        <v>1176</v>
      </c>
      <c r="J1275" s="1" t="s">
        <v>16</v>
      </c>
      <c r="K1275" s="1" t="s">
        <v>2515</v>
      </c>
      <c r="L1275" s="1" t="s">
        <v>2330</v>
      </c>
      <c r="M1275">
        <f t="shared" si="133"/>
        <v>600</v>
      </c>
      <c r="N1275" t="str">
        <f t="shared" si="134"/>
        <v>1957-05-11</v>
      </c>
      <c r="O1275">
        <f t="shared" si="135"/>
        <v>55</v>
      </c>
      <c r="P1275" t="str">
        <f t="shared" si="136"/>
        <v>kobieta</v>
      </c>
      <c r="Q1275">
        <f t="shared" si="137"/>
        <v>72</v>
      </c>
      <c r="R1275">
        <f t="shared" si="138"/>
        <v>48</v>
      </c>
      <c r="S1275">
        <f t="shared" ca="1" si="139"/>
        <v>6</v>
      </c>
    </row>
    <row r="1276" spans="1:19">
      <c r="A1276" s="1" t="s">
        <v>19</v>
      </c>
      <c r="B1276" s="2">
        <v>500</v>
      </c>
      <c r="C1276" s="1">
        <v>500</v>
      </c>
      <c r="D1276" s="1" t="s">
        <v>2262</v>
      </c>
      <c r="E1276" s="1">
        <v>12</v>
      </c>
      <c r="F1276" s="3">
        <v>2200</v>
      </c>
      <c r="G1276" s="1">
        <v>1</v>
      </c>
      <c r="H1276" s="1" t="s">
        <v>2524</v>
      </c>
      <c r="I1276" s="1" t="s">
        <v>2264</v>
      </c>
      <c r="J1276" s="1" t="s">
        <v>2265</v>
      </c>
      <c r="K1276" s="1" t="s">
        <v>2515</v>
      </c>
      <c r="L1276" s="1" t="s">
        <v>2421</v>
      </c>
      <c r="M1276">
        <f t="shared" si="133"/>
        <v>500</v>
      </c>
      <c r="N1276" t="str">
        <f t="shared" si="134"/>
        <v>1957-06-16</v>
      </c>
      <c r="O1276">
        <f t="shared" si="135"/>
        <v>55</v>
      </c>
      <c r="P1276" t="str">
        <f t="shared" si="136"/>
        <v>kobieta</v>
      </c>
      <c r="Q1276">
        <f t="shared" si="137"/>
        <v>7</v>
      </c>
      <c r="R1276">
        <f t="shared" si="138"/>
        <v>4</v>
      </c>
      <c r="S1276">
        <f t="shared" ca="1" si="139"/>
        <v>0</v>
      </c>
    </row>
    <row r="1277" spans="1:19">
      <c r="A1277" s="1" t="s">
        <v>19</v>
      </c>
      <c r="B1277" s="2">
        <v>400</v>
      </c>
      <c r="C1277" s="1">
        <v>400</v>
      </c>
      <c r="D1277" s="1" t="s">
        <v>94</v>
      </c>
      <c r="E1277" s="1">
        <v>16</v>
      </c>
      <c r="F1277" s="3">
        <v>1589</v>
      </c>
      <c r="G1277" s="1">
        <v>1</v>
      </c>
      <c r="H1277" s="1" t="s">
        <v>2525</v>
      </c>
      <c r="I1277" s="1" t="s">
        <v>96</v>
      </c>
      <c r="J1277" s="1" t="s">
        <v>16</v>
      </c>
      <c r="K1277" s="1" t="s">
        <v>2515</v>
      </c>
      <c r="L1277" s="1" t="s">
        <v>1381</v>
      </c>
      <c r="M1277">
        <f t="shared" si="133"/>
        <v>400</v>
      </c>
      <c r="N1277" t="str">
        <f t="shared" si="134"/>
        <v>1953-10-11</v>
      </c>
      <c r="O1277">
        <f t="shared" si="135"/>
        <v>59</v>
      </c>
      <c r="P1277" t="str">
        <f t="shared" si="136"/>
        <v>kobieta</v>
      </c>
      <c r="Q1277">
        <f t="shared" si="137"/>
        <v>31</v>
      </c>
      <c r="R1277">
        <f t="shared" si="138"/>
        <v>48</v>
      </c>
      <c r="S1277">
        <f t="shared" ca="1" si="139"/>
        <v>4</v>
      </c>
    </row>
    <row r="1278" spans="1:19">
      <c r="A1278" s="1" t="s">
        <v>12</v>
      </c>
      <c r="B1278" s="2">
        <v>300</v>
      </c>
      <c r="C1278" s="1">
        <v>300</v>
      </c>
      <c r="D1278" s="1" t="s">
        <v>2526</v>
      </c>
      <c r="E1278" s="1">
        <v>12</v>
      </c>
      <c r="F1278" s="3">
        <v>3000</v>
      </c>
      <c r="G1278" s="1">
        <v>0</v>
      </c>
      <c r="H1278" s="1" t="s">
        <v>2527</v>
      </c>
      <c r="I1278" s="1" t="s">
        <v>1201</v>
      </c>
      <c r="J1278" s="1" t="s">
        <v>2528</v>
      </c>
      <c r="K1278" s="1" t="s">
        <v>2515</v>
      </c>
      <c r="L1278" s="1" t="s">
        <v>2350</v>
      </c>
      <c r="M1278">
        <f t="shared" si="133"/>
        <v>300</v>
      </c>
      <c r="N1278" t="str">
        <f t="shared" si="134"/>
        <v>1961-03-07</v>
      </c>
      <c r="O1278">
        <f t="shared" si="135"/>
        <v>51</v>
      </c>
      <c r="P1278" t="str">
        <f t="shared" si="136"/>
        <v>mężczyzna</v>
      </c>
      <c r="Q1278">
        <f t="shared" si="137"/>
        <v>57</v>
      </c>
      <c r="R1278">
        <f t="shared" si="138"/>
        <v>48</v>
      </c>
      <c r="S1278">
        <f t="shared" ca="1" si="139"/>
        <v>0</v>
      </c>
    </row>
    <row r="1279" spans="1:19">
      <c r="A1279" s="1" t="s">
        <v>56</v>
      </c>
      <c r="B1279" s="2">
        <v>1000</v>
      </c>
      <c r="C1279" s="1">
        <v>300</v>
      </c>
      <c r="D1279" s="1" t="s">
        <v>2529</v>
      </c>
      <c r="E1279" s="1">
        <v>16</v>
      </c>
      <c r="F1279" s="3">
        <v>1300</v>
      </c>
      <c r="G1279" s="1">
        <v>0</v>
      </c>
      <c r="H1279" s="1" t="s">
        <v>2530</v>
      </c>
      <c r="I1279" s="1" t="s">
        <v>2531</v>
      </c>
      <c r="J1279" s="1" t="s">
        <v>16</v>
      </c>
      <c r="K1279" s="1" t="s">
        <v>2515</v>
      </c>
      <c r="L1279" s="1" t="s">
        <v>28</v>
      </c>
      <c r="M1279">
        <f t="shared" si="133"/>
        <v>300</v>
      </c>
      <c r="N1279" t="str">
        <f t="shared" si="134"/>
        <v>1973-03-10</v>
      </c>
      <c r="O1279">
        <f t="shared" si="135"/>
        <v>39</v>
      </c>
      <c r="P1279" t="str">
        <f t="shared" si="136"/>
        <v>kobieta</v>
      </c>
      <c r="Q1279">
        <f t="shared" si="137"/>
        <v>28</v>
      </c>
      <c r="R1279">
        <f t="shared" si="138"/>
        <v>48</v>
      </c>
      <c r="S1279">
        <f t="shared" ca="1" si="139"/>
        <v>5162</v>
      </c>
    </row>
    <row r="1280" spans="1:19">
      <c r="A1280" s="1" t="s">
        <v>19</v>
      </c>
      <c r="B1280" s="2">
        <v>300</v>
      </c>
      <c r="C1280" s="1">
        <v>300</v>
      </c>
      <c r="D1280" s="1" t="s">
        <v>843</v>
      </c>
      <c r="E1280" s="1">
        <v>11</v>
      </c>
      <c r="F1280" s="3">
        <v>2800</v>
      </c>
      <c r="G1280" s="1">
        <v>3</v>
      </c>
      <c r="H1280" s="1" t="s">
        <v>2532</v>
      </c>
      <c r="I1280" s="1" t="s">
        <v>717</v>
      </c>
      <c r="J1280" s="1" t="s">
        <v>16</v>
      </c>
      <c r="K1280" s="1" t="s">
        <v>2515</v>
      </c>
      <c r="L1280" s="1" t="s">
        <v>2350</v>
      </c>
      <c r="M1280">
        <f t="shared" si="133"/>
        <v>300</v>
      </c>
      <c r="N1280" t="str">
        <f t="shared" si="134"/>
        <v>1956-04-05</v>
      </c>
      <c r="O1280">
        <f t="shared" si="135"/>
        <v>56</v>
      </c>
      <c r="P1280" t="str">
        <f t="shared" si="136"/>
        <v>kobieta</v>
      </c>
      <c r="Q1280">
        <f t="shared" si="137"/>
        <v>13</v>
      </c>
      <c r="R1280">
        <f t="shared" si="138"/>
        <v>48</v>
      </c>
      <c r="S1280">
        <f t="shared" ca="1" si="139"/>
        <v>0</v>
      </c>
    </row>
    <row r="1281" spans="1:19">
      <c r="A1281" s="1" t="s">
        <v>19</v>
      </c>
      <c r="B1281" s="2">
        <v>200</v>
      </c>
      <c r="C1281" s="1">
        <v>200</v>
      </c>
      <c r="D1281" s="1" t="s">
        <v>2003</v>
      </c>
      <c r="E1281" s="1">
        <v>11</v>
      </c>
      <c r="F1281" s="3">
        <v>1187.06</v>
      </c>
      <c r="G1281" s="1">
        <v>1</v>
      </c>
      <c r="H1281" s="1" t="s">
        <v>2533</v>
      </c>
      <c r="I1281" s="1" t="s">
        <v>2005</v>
      </c>
      <c r="J1281" s="1" t="s">
        <v>16</v>
      </c>
      <c r="K1281" s="1" t="s">
        <v>2515</v>
      </c>
      <c r="L1281" s="1" t="s">
        <v>1381</v>
      </c>
      <c r="M1281">
        <f t="shared" si="133"/>
        <v>200</v>
      </c>
      <c r="N1281" t="str">
        <f t="shared" si="134"/>
        <v>1955-08-01</v>
      </c>
      <c r="O1281">
        <f t="shared" si="135"/>
        <v>57</v>
      </c>
      <c r="P1281" t="str">
        <f t="shared" si="136"/>
        <v>kobieta</v>
      </c>
      <c r="Q1281">
        <f t="shared" si="137"/>
        <v>137</v>
      </c>
      <c r="R1281">
        <f t="shared" si="138"/>
        <v>48</v>
      </c>
      <c r="S1281">
        <f t="shared" ca="1" si="139"/>
        <v>4</v>
      </c>
    </row>
    <row r="1282" spans="1:19">
      <c r="A1282" s="1" t="s">
        <v>19</v>
      </c>
      <c r="B1282" s="2">
        <v>1000</v>
      </c>
      <c r="C1282" s="1">
        <v>500</v>
      </c>
      <c r="D1282" s="1" t="s">
        <v>2534</v>
      </c>
      <c r="E1282" s="1">
        <v>11</v>
      </c>
      <c r="F1282" s="3">
        <v>1800</v>
      </c>
      <c r="G1282" s="1">
        <v>0</v>
      </c>
      <c r="H1282" s="1" t="s">
        <v>2535</v>
      </c>
      <c r="I1282" s="1" t="s">
        <v>389</v>
      </c>
      <c r="J1282" s="1" t="s">
        <v>16</v>
      </c>
      <c r="K1282" s="1" t="s">
        <v>2515</v>
      </c>
      <c r="L1282" s="1" t="s">
        <v>1381</v>
      </c>
      <c r="M1282">
        <f t="shared" si="133"/>
        <v>500</v>
      </c>
      <c r="N1282" t="str">
        <f t="shared" si="134"/>
        <v>1988-01-28</v>
      </c>
      <c r="O1282">
        <f t="shared" si="135"/>
        <v>24</v>
      </c>
      <c r="P1282" t="str">
        <f t="shared" si="136"/>
        <v>mężczyzna</v>
      </c>
      <c r="Q1282">
        <f t="shared" si="137"/>
        <v>13</v>
      </c>
      <c r="R1282">
        <f t="shared" si="138"/>
        <v>48</v>
      </c>
      <c r="S1282">
        <f t="shared" ca="1" si="139"/>
        <v>4</v>
      </c>
    </row>
    <row r="1283" spans="1:19">
      <c r="A1283" s="1" t="s">
        <v>12</v>
      </c>
      <c r="B1283" s="2">
        <v>391.97</v>
      </c>
      <c r="C1283" s="1">
        <v>391.97</v>
      </c>
      <c r="D1283" s="1" t="s">
        <v>1400</v>
      </c>
      <c r="E1283" s="1">
        <v>13</v>
      </c>
      <c r="F1283" s="3">
        <v>1507</v>
      </c>
      <c r="G1283" s="1">
        <v>2</v>
      </c>
      <c r="H1283" s="1" t="s">
        <v>2536</v>
      </c>
      <c r="I1283" s="1" t="s">
        <v>1402</v>
      </c>
      <c r="J1283" s="1" t="s">
        <v>16</v>
      </c>
      <c r="K1283" s="1" t="s">
        <v>2537</v>
      </c>
      <c r="L1283" s="1" t="s">
        <v>2161</v>
      </c>
      <c r="M1283">
        <f t="shared" ref="M1283:M1346" si="140">IF(A1283="odmowa", B1283,C1283)</f>
        <v>391.97</v>
      </c>
      <c r="N1283" t="str">
        <f t="shared" ref="N1283:N1346" si="141">CONCATENATE("19", MID(D1283, 1, 2), "-", MID(D1283, 3, 2), "-", MID(D1283, 5, 2))</f>
        <v>1947-06-22</v>
      </c>
      <c r="O1283">
        <f t="shared" ref="O1283:O1346" si="142">YEAR(H1283) - YEAR(N1283)</f>
        <v>65</v>
      </c>
      <c r="P1283" t="str">
        <f t="shared" ref="P1283:P1346" si="143">IF(MOD(MID(D1283, 10, 1), 2)=0, "kobieta", "mężczyzna")</f>
        <v>kobieta</v>
      </c>
      <c r="Q1283">
        <f t="shared" ref="Q1283:Q1346" si="144">(YEAR(H1283) - YEAR(I1283)) * 12 + MONTH(H1283) - MONTH(I1283)</f>
        <v>63</v>
      </c>
      <c r="R1283">
        <f t="shared" ref="R1283:R1346" si="145">IF(LEFT(J1283, 4)="0000", 48, MIN(48, (YEAR(J1283) - YEAR(H1283)) * 12 + MONTH(J1283) - MONTH(H1283)))</f>
        <v>48</v>
      </c>
      <c r="S1283">
        <f t="shared" ref="S1283:S1346" ca="1" si="146">IF(LEFT(K1283, 4)="0000", 0, IF(LEFT(L1283, 4)="0000", MAX(0, TODAY() - K1283), MAX(0, L1283 - K1283)))</f>
        <v>0</v>
      </c>
    </row>
    <row r="1284" spans="1:19">
      <c r="A1284" s="1" t="s">
        <v>19</v>
      </c>
      <c r="B1284" s="2">
        <v>800</v>
      </c>
      <c r="C1284" s="1">
        <v>800</v>
      </c>
      <c r="D1284" s="1" t="s">
        <v>823</v>
      </c>
      <c r="E1284" s="1">
        <v>13</v>
      </c>
      <c r="F1284" s="3">
        <v>3440</v>
      </c>
      <c r="G1284" s="1">
        <v>8</v>
      </c>
      <c r="H1284" s="1" t="s">
        <v>2538</v>
      </c>
      <c r="I1284" s="1" t="s">
        <v>825</v>
      </c>
      <c r="J1284" s="1" t="s">
        <v>16</v>
      </c>
      <c r="K1284" s="1" t="s">
        <v>2537</v>
      </c>
      <c r="L1284" s="1" t="s">
        <v>2261</v>
      </c>
      <c r="M1284">
        <f t="shared" si="140"/>
        <v>800</v>
      </c>
      <c r="N1284" t="str">
        <f t="shared" si="141"/>
        <v>1956-04-20</v>
      </c>
      <c r="O1284">
        <f t="shared" si="142"/>
        <v>56</v>
      </c>
      <c r="P1284" t="str">
        <f t="shared" si="143"/>
        <v>kobieta</v>
      </c>
      <c r="Q1284">
        <f t="shared" si="144"/>
        <v>55</v>
      </c>
      <c r="R1284">
        <f t="shared" si="145"/>
        <v>48</v>
      </c>
      <c r="S1284">
        <f t="shared" ca="1" si="146"/>
        <v>0</v>
      </c>
    </row>
    <row r="1285" spans="1:19">
      <c r="A1285" s="1" t="s">
        <v>12</v>
      </c>
      <c r="B1285" s="2">
        <v>342.86</v>
      </c>
      <c r="C1285" s="1">
        <v>342.86</v>
      </c>
      <c r="D1285" s="1" t="s">
        <v>1396</v>
      </c>
      <c r="E1285" s="1">
        <v>13</v>
      </c>
      <c r="F1285" s="3">
        <v>1087</v>
      </c>
      <c r="G1285" s="1">
        <v>2</v>
      </c>
      <c r="H1285" s="1" t="s">
        <v>2539</v>
      </c>
      <c r="I1285" s="1" t="s">
        <v>230</v>
      </c>
      <c r="J1285" s="1" t="s">
        <v>16</v>
      </c>
      <c r="K1285" s="1" t="s">
        <v>2537</v>
      </c>
      <c r="L1285" s="1" t="s">
        <v>2540</v>
      </c>
      <c r="M1285">
        <f t="shared" si="140"/>
        <v>342.86</v>
      </c>
      <c r="N1285" t="str">
        <f t="shared" si="141"/>
        <v>1951-03-01</v>
      </c>
      <c r="O1285">
        <f t="shared" si="142"/>
        <v>61</v>
      </c>
      <c r="P1285" t="str">
        <f t="shared" si="143"/>
        <v>kobieta</v>
      </c>
      <c r="Q1285">
        <f t="shared" si="144"/>
        <v>75</v>
      </c>
      <c r="R1285">
        <f t="shared" si="145"/>
        <v>48</v>
      </c>
      <c r="S1285">
        <f t="shared" ca="1" si="146"/>
        <v>98</v>
      </c>
    </row>
    <row r="1286" spans="1:19">
      <c r="A1286" s="1" t="s">
        <v>24</v>
      </c>
      <c r="B1286" s="2">
        <v>600</v>
      </c>
      <c r="C1286" s="1">
        <v>0</v>
      </c>
      <c r="D1286" s="1" t="s">
        <v>2541</v>
      </c>
      <c r="E1286" s="1">
        <v>11</v>
      </c>
      <c r="F1286" s="3">
        <v>1500</v>
      </c>
      <c r="G1286" s="1">
        <v>0</v>
      </c>
      <c r="H1286" s="1" t="s">
        <v>2542</v>
      </c>
      <c r="I1286" s="1" t="s">
        <v>121</v>
      </c>
      <c r="J1286" s="1" t="s">
        <v>16</v>
      </c>
      <c r="K1286" s="1" t="s">
        <v>16</v>
      </c>
      <c r="L1286" s="1" t="s">
        <v>28</v>
      </c>
      <c r="M1286">
        <f t="shared" si="140"/>
        <v>600</v>
      </c>
      <c r="N1286" t="str">
        <f t="shared" si="141"/>
        <v>1985-05-11</v>
      </c>
      <c r="O1286">
        <f t="shared" si="142"/>
        <v>27</v>
      </c>
      <c r="P1286" t="str">
        <f t="shared" si="143"/>
        <v>mężczyzna</v>
      </c>
      <c r="Q1286">
        <f t="shared" si="144"/>
        <v>23</v>
      </c>
      <c r="R1286">
        <f t="shared" si="145"/>
        <v>48</v>
      </c>
      <c r="S1286">
        <f t="shared" ca="1" si="146"/>
        <v>0</v>
      </c>
    </row>
    <row r="1287" spans="1:19">
      <c r="A1287" s="1" t="s">
        <v>19</v>
      </c>
      <c r="B1287" s="2">
        <v>200</v>
      </c>
      <c r="C1287" s="1">
        <v>200</v>
      </c>
      <c r="D1287" s="1" t="s">
        <v>886</v>
      </c>
      <c r="E1287" s="1">
        <v>13</v>
      </c>
      <c r="F1287" s="3">
        <v>1162</v>
      </c>
      <c r="G1287" s="1">
        <v>8</v>
      </c>
      <c r="H1287" s="1" t="s">
        <v>2543</v>
      </c>
      <c r="I1287" s="1" t="s">
        <v>888</v>
      </c>
      <c r="J1287" s="1" t="s">
        <v>16</v>
      </c>
      <c r="K1287" s="1" t="s">
        <v>2537</v>
      </c>
      <c r="L1287" s="1" t="s">
        <v>2261</v>
      </c>
      <c r="M1287">
        <f t="shared" si="140"/>
        <v>200</v>
      </c>
      <c r="N1287" t="str">
        <f t="shared" si="141"/>
        <v>1949-02-21</v>
      </c>
      <c r="O1287">
        <f t="shared" si="142"/>
        <v>63</v>
      </c>
      <c r="P1287" t="str">
        <f t="shared" si="143"/>
        <v>mężczyzna</v>
      </c>
      <c r="Q1287">
        <f t="shared" si="144"/>
        <v>225</v>
      </c>
      <c r="R1287">
        <f t="shared" si="145"/>
        <v>48</v>
      </c>
      <c r="S1287">
        <f t="shared" ca="1" si="146"/>
        <v>0</v>
      </c>
    </row>
    <row r="1288" spans="1:19">
      <c r="A1288" s="1" t="s">
        <v>12</v>
      </c>
      <c r="B1288" s="2">
        <v>380.9</v>
      </c>
      <c r="C1288" s="1">
        <v>380.9</v>
      </c>
      <c r="D1288" s="1" t="s">
        <v>853</v>
      </c>
      <c r="E1288" s="1">
        <v>16</v>
      </c>
      <c r="F1288" s="3">
        <v>2300</v>
      </c>
      <c r="G1288" s="1">
        <v>9</v>
      </c>
      <c r="H1288" s="1" t="s">
        <v>2544</v>
      </c>
      <c r="I1288" s="1" t="s">
        <v>855</v>
      </c>
      <c r="J1288" s="1" t="s">
        <v>16</v>
      </c>
      <c r="K1288" s="1" t="s">
        <v>2537</v>
      </c>
      <c r="L1288" s="1" t="s">
        <v>1992</v>
      </c>
      <c r="M1288">
        <f t="shared" si="140"/>
        <v>380.9</v>
      </c>
      <c r="N1288" t="str">
        <f t="shared" si="141"/>
        <v>1956-06-30</v>
      </c>
      <c r="O1288">
        <f t="shared" si="142"/>
        <v>56</v>
      </c>
      <c r="P1288" t="str">
        <f t="shared" si="143"/>
        <v>kobieta</v>
      </c>
      <c r="Q1288">
        <f t="shared" si="144"/>
        <v>67</v>
      </c>
      <c r="R1288">
        <f t="shared" si="145"/>
        <v>48</v>
      </c>
      <c r="S1288">
        <f t="shared" ca="1" si="146"/>
        <v>0</v>
      </c>
    </row>
    <row r="1289" spans="1:19">
      <c r="A1289" s="1" t="s">
        <v>309</v>
      </c>
      <c r="B1289" s="2">
        <v>200</v>
      </c>
      <c r="C1289" s="1">
        <v>200</v>
      </c>
      <c r="D1289" s="1" t="s">
        <v>52</v>
      </c>
      <c r="E1289" s="1">
        <v>12</v>
      </c>
      <c r="F1289" s="3">
        <v>990.34</v>
      </c>
      <c r="G1289" s="1">
        <v>1</v>
      </c>
      <c r="H1289" s="1" t="s">
        <v>2545</v>
      </c>
      <c r="I1289" s="1" t="s">
        <v>54</v>
      </c>
      <c r="J1289" s="1" t="s">
        <v>55</v>
      </c>
      <c r="K1289" s="1" t="s">
        <v>2537</v>
      </c>
      <c r="L1289" s="1" t="s">
        <v>2546</v>
      </c>
      <c r="M1289">
        <f t="shared" si="140"/>
        <v>200</v>
      </c>
      <c r="N1289" t="str">
        <f t="shared" si="141"/>
        <v>1965-07-22</v>
      </c>
      <c r="O1289">
        <f t="shared" si="142"/>
        <v>47</v>
      </c>
      <c r="P1289" t="str">
        <f t="shared" si="143"/>
        <v>kobieta</v>
      </c>
      <c r="Q1289">
        <f t="shared" si="144"/>
        <v>60</v>
      </c>
      <c r="R1289">
        <f t="shared" si="145"/>
        <v>12</v>
      </c>
      <c r="S1289">
        <f t="shared" ca="1" si="146"/>
        <v>226</v>
      </c>
    </row>
    <row r="1290" spans="1:19">
      <c r="A1290" s="1" t="s">
        <v>12</v>
      </c>
      <c r="B1290" s="2">
        <v>200</v>
      </c>
      <c r="C1290" s="1">
        <v>200</v>
      </c>
      <c r="D1290" s="1" t="s">
        <v>1024</v>
      </c>
      <c r="E1290" s="1">
        <v>11</v>
      </c>
      <c r="F1290" s="3">
        <v>1460.17</v>
      </c>
      <c r="G1290" s="1">
        <v>0</v>
      </c>
      <c r="H1290" s="1" t="s">
        <v>2547</v>
      </c>
      <c r="I1290" s="1" t="s">
        <v>1026</v>
      </c>
      <c r="J1290" s="1" t="s">
        <v>16</v>
      </c>
      <c r="K1290" s="1" t="s">
        <v>2537</v>
      </c>
      <c r="L1290" s="1" t="s">
        <v>2330</v>
      </c>
      <c r="M1290">
        <f t="shared" si="140"/>
        <v>200</v>
      </c>
      <c r="N1290" t="str">
        <f t="shared" si="141"/>
        <v>1956-12-09</v>
      </c>
      <c r="O1290">
        <f t="shared" si="142"/>
        <v>56</v>
      </c>
      <c r="P1290" t="str">
        <f t="shared" si="143"/>
        <v>mężczyzna</v>
      </c>
      <c r="Q1290">
        <f t="shared" si="144"/>
        <v>65</v>
      </c>
      <c r="R1290">
        <f t="shared" si="145"/>
        <v>48</v>
      </c>
      <c r="S1290">
        <f t="shared" ca="1" si="146"/>
        <v>4</v>
      </c>
    </row>
    <row r="1291" spans="1:19">
      <c r="A1291" s="1" t="s">
        <v>19</v>
      </c>
      <c r="B1291" s="2">
        <v>400</v>
      </c>
      <c r="C1291" s="1">
        <v>400</v>
      </c>
      <c r="D1291" s="1" t="s">
        <v>741</v>
      </c>
      <c r="E1291" s="1">
        <v>12</v>
      </c>
      <c r="F1291" s="3">
        <v>1000</v>
      </c>
      <c r="G1291" s="1">
        <v>8</v>
      </c>
      <c r="H1291" s="1" t="s">
        <v>2548</v>
      </c>
      <c r="I1291" s="1" t="s">
        <v>743</v>
      </c>
      <c r="J1291" s="1" t="s">
        <v>246</v>
      </c>
      <c r="K1291" s="1" t="s">
        <v>2537</v>
      </c>
      <c r="L1291" s="1" t="s">
        <v>2350</v>
      </c>
      <c r="M1291">
        <f t="shared" si="140"/>
        <v>400</v>
      </c>
      <c r="N1291" t="str">
        <f t="shared" si="141"/>
        <v>1961-05-20</v>
      </c>
      <c r="O1291">
        <f t="shared" si="142"/>
        <v>51</v>
      </c>
      <c r="P1291" t="str">
        <f t="shared" si="143"/>
        <v>kobieta</v>
      </c>
      <c r="Q1291">
        <f t="shared" si="144"/>
        <v>36</v>
      </c>
      <c r="R1291">
        <f t="shared" si="145"/>
        <v>1</v>
      </c>
      <c r="S1291">
        <f t="shared" ca="1" si="146"/>
        <v>0</v>
      </c>
    </row>
    <row r="1292" spans="1:19">
      <c r="A1292" s="1" t="s">
        <v>19</v>
      </c>
      <c r="B1292" s="2">
        <v>400</v>
      </c>
      <c r="C1292" s="1">
        <v>400</v>
      </c>
      <c r="D1292" s="1" t="s">
        <v>744</v>
      </c>
      <c r="E1292" s="1">
        <v>12</v>
      </c>
      <c r="F1292" s="3">
        <v>1000</v>
      </c>
      <c r="G1292" s="1">
        <v>8</v>
      </c>
      <c r="H1292" s="1" t="s">
        <v>2549</v>
      </c>
      <c r="I1292" s="1" t="s">
        <v>395</v>
      </c>
      <c r="J1292" s="1" t="s">
        <v>1970</v>
      </c>
      <c r="K1292" s="1" t="s">
        <v>2537</v>
      </c>
      <c r="L1292" s="1" t="s">
        <v>2350</v>
      </c>
      <c r="M1292">
        <f t="shared" si="140"/>
        <v>400</v>
      </c>
      <c r="N1292" t="str">
        <f t="shared" si="141"/>
        <v>1951-04-12</v>
      </c>
      <c r="O1292">
        <f t="shared" si="142"/>
        <v>61</v>
      </c>
      <c r="P1292" t="str">
        <f t="shared" si="143"/>
        <v>mężczyzna</v>
      </c>
      <c r="Q1292">
        <f t="shared" si="144"/>
        <v>16</v>
      </c>
      <c r="R1292">
        <f t="shared" si="145"/>
        <v>10</v>
      </c>
      <c r="S1292">
        <f t="shared" ca="1" si="146"/>
        <v>0</v>
      </c>
    </row>
    <row r="1293" spans="1:19">
      <c r="A1293" s="1" t="s">
        <v>19</v>
      </c>
      <c r="B1293" s="2">
        <v>800</v>
      </c>
      <c r="C1293" s="1">
        <v>800</v>
      </c>
      <c r="D1293" s="1" t="s">
        <v>911</v>
      </c>
      <c r="E1293" s="1">
        <v>13</v>
      </c>
      <c r="F1293" s="3">
        <v>2120</v>
      </c>
      <c r="G1293" s="1">
        <v>3</v>
      </c>
      <c r="H1293" s="1" t="s">
        <v>2550</v>
      </c>
      <c r="I1293" s="1" t="s">
        <v>913</v>
      </c>
      <c r="J1293" s="1" t="s">
        <v>16</v>
      </c>
      <c r="K1293" s="1" t="s">
        <v>2537</v>
      </c>
      <c r="L1293" s="1" t="s">
        <v>2261</v>
      </c>
      <c r="M1293">
        <f t="shared" si="140"/>
        <v>800</v>
      </c>
      <c r="N1293" t="str">
        <f t="shared" si="141"/>
        <v>1943-11-21</v>
      </c>
      <c r="O1293">
        <f t="shared" si="142"/>
        <v>69</v>
      </c>
      <c r="P1293" t="str">
        <f t="shared" si="143"/>
        <v>kobieta</v>
      </c>
      <c r="Q1293">
        <f t="shared" si="144"/>
        <v>123</v>
      </c>
      <c r="R1293">
        <f t="shared" si="145"/>
        <v>48</v>
      </c>
      <c r="S1293">
        <f t="shared" ca="1" si="146"/>
        <v>0</v>
      </c>
    </row>
    <row r="1294" spans="1:19">
      <c r="A1294" s="1" t="s">
        <v>19</v>
      </c>
      <c r="B1294" s="2">
        <v>900</v>
      </c>
      <c r="C1294" s="1">
        <v>900</v>
      </c>
      <c r="D1294" s="1" t="s">
        <v>878</v>
      </c>
      <c r="E1294" s="1">
        <v>13</v>
      </c>
      <c r="F1294" s="3">
        <v>3040</v>
      </c>
      <c r="G1294" s="1">
        <v>0</v>
      </c>
      <c r="H1294" s="1" t="s">
        <v>2551</v>
      </c>
      <c r="I1294" s="1" t="s">
        <v>880</v>
      </c>
      <c r="J1294" s="1" t="s">
        <v>16</v>
      </c>
      <c r="K1294" s="1" t="s">
        <v>2537</v>
      </c>
      <c r="L1294" s="1" t="s">
        <v>2393</v>
      </c>
      <c r="M1294">
        <f t="shared" si="140"/>
        <v>900</v>
      </c>
      <c r="N1294" t="str">
        <f t="shared" si="141"/>
        <v>1946-11-27</v>
      </c>
      <c r="O1294">
        <f t="shared" si="142"/>
        <v>66</v>
      </c>
      <c r="P1294" t="str">
        <f t="shared" si="143"/>
        <v>mężczyzna</v>
      </c>
      <c r="Q1294">
        <f t="shared" si="144"/>
        <v>205</v>
      </c>
      <c r="R1294">
        <f t="shared" si="145"/>
        <v>48</v>
      </c>
      <c r="S1294">
        <f t="shared" ca="1" si="146"/>
        <v>1</v>
      </c>
    </row>
    <row r="1295" spans="1:19">
      <c r="A1295" s="1" t="s">
        <v>12</v>
      </c>
      <c r="B1295" s="2">
        <v>600</v>
      </c>
      <c r="C1295" s="1">
        <v>200</v>
      </c>
      <c r="D1295" s="1" t="s">
        <v>2552</v>
      </c>
      <c r="E1295" s="1">
        <v>12</v>
      </c>
      <c r="F1295" s="3">
        <v>1200</v>
      </c>
      <c r="G1295" s="1">
        <v>0</v>
      </c>
      <c r="H1295" s="1" t="s">
        <v>2553</v>
      </c>
      <c r="I1295" s="1" t="s">
        <v>1255</v>
      </c>
      <c r="J1295" s="1" t="s">
        <v>2554</v>
      </c>
      <c r="K1295" s="1" t="s">
        <v>2537</v>
      </c>
      <c r="L1295" s="1" t="s">
        <v>2421</v>
      </c>
      <c r="M1295">
        <f t="shared" si="140"/>
        <v>200</v>
      </c>
      <c r="N1295" t="str">
        <f t="shared" si="141"/>
        <v>1958-07-01</v>
      </c>
      <c r="O1295">
        <f t="shared" si="142"/>
        <v>54</v>
      </c>
      <c r="P1295" t="str">
        <f t="shared" si="143"/>
        <v>kobieta</v>
      </c>
      <c r="Q1295">
        <f t="shared" si="144"/>
        <v>2</v>
      </c>
      <c r="R1295">
        <f t="shared" si="145"/>
        <v>1</v>
      </c>
      <c r="S1295">
        <f t="shared" ca="1" si="146"/>
        <v>0</v>
      </c>
    </row>
    <row r="1296" spans="1:19">
      <c r="A1296" s="1" t="s">
        <v>24</v>
      </c>
      <c r="B1296" s="2">
        <v>500</v>
      </c>
      <c r="C1296" s="1">
        <v>0</v>
      </c>
      <c r="D1296" s="1" t="s">
        <v>2555</v>
      </c>
      <c r="E1296" s="1">
        <v>13</v>
      </c>
      <c r="F1296" s="3">
        <v>941</v>
      </c>
      <c r="G1296" s="1">
        <v>0</v>
      </c>
      <c r="H1296" s="1" t="s">
        <v>2556</v>
      </c>
      <c r="I1296" s="1" t="s">
        <v>2443</v>
      </c>
      <c r="J1296" s="1" t="s">
        <v>16</v>
      </c>
      <c r="K1296" s="1" t="s">
        <v>16</v>
      </c>
      <c r="L1296" s="1" t="s">
        <v>28</v>
      </c>
      <c r="M1296">
        <f t="shared" si="140"/>
        <v>500</v>
      </c>
      <c r="N1296" t="str">
        <f t="shared" si="141"/>
        <v>1962-05-15</v>
      </c>
      <c r="O1296">
        <f t="shared" si="142"/>
        <v>50</v>
      </c>
      <c r="P1296" t="str">
        <f t="shared" si="143"/>
        <v>mężczyzna</v>
      </c>
      <c r="Q1296">
        <f t="shared" si="144"/>
        <v>72</v>
      </c>
      <c r="R1296">
        <f t="shared" si="145"/>
        <v>48</v>
      </c>
      <c r="S1296">
        <f t="shared" ca="1" si="146"/>
        <v>0</v>
      </c>
    </row>
    <row r="1297" spans="1:19">
      <c r="A1297" s="1" t="s">
        <v>19</v>
      </c>
      <c r="B1297" s="2">
        <v>400</v>
      </c>
      <c r="C1297" s="1">
        <v>400</v>
      </c>
      <c r="D1297" s="1" t="s">
        <v>1121</v>
      </c>
      <c r="E1297" s="1">
        <v>13</v>
      </c>
      <c r="F1297" s="3">
        <v>1137.19</v>
      </c>
      <c r="G1297" s="1">
        <v>0</v>
      </c>
      <c r="H1297" s="1" t="s">
        <v>2557</v>
      </c>
      <c r="I1297" s="1" t="s">
        <v>772</v>
      </c>
      <c r="J1297" s="1" t="s">
        <v>16</v>
      </c>
      <c r="K1297" s="1" t="s">
        <v>2558</v>
      </c>
      <c r="L1297" s="1" t="s">
        <v>1381</v>
      </c>
      <c r="M1297">
        <f t="shared" si="140"/>
        <v>400</v>
      </c>
      <c r="N1297" t="str">
        <f t="shared" si="141"/>
        <v>1945-02-15</v>
      </c>
      <c r="O1297">
        <f t="shared" si="142"/>
        <v>67</v>
      </c>
      <c r="P1297" t="str">
        <f t="shared" si="143"/>
        <v>kobieta</v>
      </c>
      <c r="Q1297">
        <f t="shared" si="144"/>
        <v>100</v>
      </c>
      <c r="R1297">
        <f t="shared" si="145"/>
        <v>48</v>
      </c>
      <c r="S1297">
        <f t="shared" ca="1" si="146"/>
        <v>0</v>
      </c>
    </row>
    <row r="1298" spans="1:19">
      <c r="A1298" s="1" t="s">
        <v>19</v>
      </c>
      <c r="B1298" s="2">
        <v>1000</v>
      </c>
      <c r="C1298" s="1">
        <v>1000</v>
      </c>
      <c r="D1298" s="1" t="s">
        <v>40</v>
      </c>
      <c r="E1298" s="1">
        <v>13</v>
      </c>
      <c r="F1298" s="3">
        <v>2090</v>
      </c>
      <c r="G1298" s="1">
        <v>0</v>
      </c>
      <c r="H1298" s="1" t="s">
        <v>2559</v>
      </c>
      <c r="I1298" s="1" t="s">
        <v>42</v>
      </c>
      <c r="J1298" s="1" t="s">
        <v>16</v>
      </c>
      <c r="K1298" s="1" t="s">
        <v>2558</v>
      </c>
      <c r="L1298" s="1" t="s">
        <v>1381</v>
      </c>
      <c r="M1298">
        <f t="shared" si="140"/>
        <v>1000</v>
      </c>
      <c r="N1298" t="str">
        <f t="shared" si="141"/>
        <v>1931-12-21</v>
      </c>
      <c r="O1298">
        <f t="shared" si="142"/>
        <v>81</v>
      </c>
      <c r="P1298" t="str">
        <f t="shared" si="143"/>
        <v>kobieta</v>
      </c>
      <c r="Q1298">
        <f t="shared" si="144"/>
        <v>249</v>
      </c>
      <c r="R1298">
        <f t="shared" si="145"/>
        <v>48</v>
      </c>
      <c r="S1298">
        <f t="shared" ca="1" si="146"/>
        <v>0</v>
      </c>
    </row>
    <row r="1299" spans="1:19">
      <c r="A1299" s="1" t="s">
        <v>56</v>
      </c>
      <c r="B1299" s="2">
        <v>300</v>
      </c>
      <c r="C1299" s="1">
        <v>200</v>
      </c>
      <c r="D1299" s="1" t="s">
        <v>2560</v>
      </c>
      <c r="E1299" s="1">
        <v>11</v>
      </c>
      <c r="F1299" s="3">
        <v>1000</v>
      </c>
      <c r="G1299" s="1">
        <v>0</v>
      </c>
      <c r="H1299" s="1" t="s">
        <v>2561</v>
      </c>
      <c r="I1299" s="1" t="s">
        <v>558</v>
      </c>
      <c r="J1299" s="1" t="s">
        <v>16</v>
      </c>
      <c r="K1299" s="1" t="s">
        <v>2558</v>
      </c>
      <c r="L1299" s="1" t="s">
        <v>28</v>
      </c>
      <c r="M1299">
        <f t="shared" si="140"/>
        <v>200</v>
      </c>
      <c r="N1299" t="str">
        <f t="shared" si="141"/>
        <v>1986-10-06</v>
      </c>
      <c r="O1299">
        <f t="shared" si="142"/>
        <v>26</v>
      </c>
      <c r="P1299" t="str">
        <f t="shared" si="143"/>
        <v>kobieta</v>
      </c>
      <c r="Q1299">
        <f t="shared" si="144"/>
        <v>3</v>
      </c>
      <c r="R1299">
        <f t="shared" si="145"/>
        <v>48</v>
      </c>
      <c r="S1299">
        <f t="shared" ca="1" si="146"/>
        <v>5158</v>
      </c>
    </row>
    <row r="1300" spans="1:19">
      <c r="A1300" s="1" t="s">
        <v>19</v>
      </c>
      <c r="B1300" s="2">
        <v>300</v>
      </c>
      <c r="C1300" s="1">
        <v>300</v>
      </c>
      <c r="D1300" s="1" t="s">
        <v>1001</v>
      </c>
      <c r="E1300" s="1">
        <v>13</v>
      </c>
      <c r="F1300" s="3">
        <v>1027</v>
      </c>
      <c r="G1300" s="1">
        <v>4</v>
      </c>
      <c r="H1300" s="1" t="s">
        <v>2562</v>
      </c>
      <c r="I1300" s="1" t="s">
        <v>1003</v>
      </c>
      <c r="J1300" s="1" t="s">
        <v>16</v>
      </c>
      <c r="K1300" s="1" t="s">
        <v>2558</v>
      </c>
      <c r="L1300" s="1" t="s">
        <v>2563</v>
      </c>
      <c r="M1300">
        <f t="shared" si="140"/>
        <v>300</v>
      </c>
      <c r="N1300" t="str">
        <f t="shared" si="141"/>
        <v>1943-04-08</v>
      </c>
      <c r="O1300">
        <f t="shared" si="142"/>
        <v>69</v>
      </c>
      <c r="P1300" t="str">
        <f t="shared" si="143"/>
        <v>kobieta</v>
      </c>
      <c r="Q1300">
        <f t="shared" si="144"/>
        <v>196</v>
      </c>
      <c r="R1300">
        <f t="shared" si="145"/>
        <v>48</v>
      </c>
      <c r="S1300">
        <f t="shared" ca="1" si="146"/>
        <v>1</v>
      </c>
    </row>
    <row r="1301" spans="1:19">
      <c r="A1301" s="1" t="s">
        <v>19</v>
      </c>
      <c r="B1301" s="2">
        <v>400</v>
      </c>
      <c r="C1301" s="1">
        <v>400</v>
      </c>
      <c r="D1301" s="1" t="s">
        <v>868</v>
      </c>
      <c r="E1301" s="1">
        <v>13</v>
      </c>
      <c r="F1301" s="3">
        <v>1107</v>
      </c>
      <c r="G1301" s="1">
        <v>2</v>
      </c>
      <c r="H1301" s="1" t="s">
        <v>2564</v>
      </c>
      <c r="I1301" s="1" t="s">
        <v>870</v>
      </c>
      <c r="J1301" s="1" t="s">
        <v>16</v>
      </c>
      <c r="K1301" s="1" t="s">
        <v>2558</v>
      </c>
      <c r="L1301" s="1" t="s">
        <v>1381</v>
      </c>
      <c r="M1301">
        <f t="shared" si="140"/>
        <v>400</v>
      </c>
      <c r="N1301" t="str">
        <f t="shared" si="141"/>
        <v>1951-06-04</v>
      </c>
      <c r="O1301">
        <f t="shared" si="142"/>
        <v>61</v>
      </c>
      <c r="P1301" t="str">
        <f t="shared" si="143"/>
        <v>kobieta</v>
      </c>
      <c r="Q1301">
        <f t="shared" si="144"/>
        <v>19</v>
      </c>
      <c r="R1301">
        <f t="shared" si="145"/>
        <v>48</v>
      </c>
      <c r="S1301">
        <f t="shared" ca="1" si="146"/>
        <v>0</v>
      </c>
    </row>
    <row r="1302" spans="1:19">
      <c r="A1302" s="1" t="s">
        <v>12</v>
      </c>
      <c r="B1302" s="2">
        <v>400</v>
      </c>
      <c r="C1302" s="1">
        <v>400</v>
      </c>
      <c r="D1302" s="1" t="s">
        <v>1901</v>
      </c>
      <c r="E1302" s="1">
        <v>98</v>
      </c>
      <c r="F1302" s="3">
        <v>1200</v>
      </c>
      <c r="G1302" s="1">
        <v>0</v>
      </c>
      <c r="H1302" s="1" t="s">
        <v>2565</v>
      </c>
      <c r="I1302" s="1" t="s">
        <v>1819</v>
      </c>
      <c r="J1302" s="1" t="s">
        <v>16</v>
      </c>
      <c r="K1302" s="1" t="s">
        <v>2558</v>
      </c>
      <c r="L1302" s="1" t="s">
        <v>2506</v>
      </c>
      <c r="M1302">
        <f t="shared" si="140"/>
        <v>400</v>
      </c>
      <c r="N1302" t="str">
        <f t="shared" si="141"/>
        <v>1988-11-06</v>
      </c>
      <c r="O1302">
        <f t="shared" si="142"/>
        <v>24</v>
      </c>
      <c r="P1302" t="str">
        <f t="shared" si="143"/>
        <v>mężczyzna</v>
      </c>
      <c r="Q1302">
        <f t="shared" si="144"/>
        <v>20</v>
      </c>
      <c r="R1302">
        <f t="shared" si="145"/>
        <v>48</v>
      </c>
      <c r="S1302">
        <f t="shared" ca="1" si="146"/>
        <v>5</v>
      </c>
    </row>
    <row r="1303" spans="1:19">
      <c r="A1303" s="1" t="s">
        <v>19</v>
      </c>
      <c r="B1303" s="2">
        <v>200</v>
      </c>
      <c r="C1303" s="1">
        <v>200</v>
      </c>
      <c r="D1303" s="1" t="s">
        <v>889</v>
      </c>
      <c r="E1303" s="1">
        <v>13</v>
      </c>
      <c r="F1303" s="3">
        <v>1635</v>
      </c>
      <c r="G1303" s="1">
        <v>8</v>
      </c>
      <c r="H1303" s="1" t="s">
        <v>2566</v>
      </c>
      <c r="I1303" s="1" t="s">
        <v>891</v>
      </c>
      <c r="J1303" s="1" t="s">
        <v>16</v>
      </c>
      <c r="K1303" s="1" t="s">
        <v>2558</v>
      </c>
      <c r="L1303" s="1" t="s">
        <v>2261</v>
      </c>
      <c r="M1303">
        <f t="shared" si="140"/>
        <v>200</v>
      </c>
      <c r="N1303" t="str">
        <f t="shared" si="141"/>
        <v>1951-06-12</v>
      </c>
      <c r="O1303">
        <f t="shared" si="142"/>
        <v>61</v>
      </c>
      <c r="P1303" t="str">
        <f t="shared" si="143"/>
        <v>kobieta</v>
      </c>
      <c r="Q1303">
        <f t="shared" si="144"/>
        <v>124</v>
      </c>
      <c r="R1303">
        <f t="shared" si="145"/>
        <v>48</v>
      </c>
      <c r="S1303">
        <f t="shared" ca="1" si="146"/>
        <v>0</v>
      </c>
    </row>
    <row r="1304" spans="1:19">
      <c r="A1304" s="1" t="s">
        <v>12</v>
      </c>
      <c r="B1304" s="2">
        <v>438.67</v>
      </c>
      <c r="C1304" s="1">
        <v>438.67</v>
      </c>
      <c r="D1304" s="1" t="s">
        <v>1321</v>
      </c>
      <c r="E1304" s="1">
        <v>11</v>
      </c>
      <c r="F1304" s="3">
        <v>1577.42</v>
      </c>
      <c r="G1304" s="1">
        <v>1</v>
      </c>
      <c r="H1304" s="1" t="s">
        <v>2567</v>
      </c>
      <c r="I1304" s="1" t="s">
        <v>263</v>
      </c>
      <c r="J1304" s="1" t="s">
        <v>16</v>
      </c>
      <c r="K1304" s="1" t="s">
        <v>2558</v>
      </c>
      <c r="L1304" s="1" t="s">
        <v>2568</v>
      </c>
      <c r="M1304">
        <f t="shared" si="140"/>
        <v>438.67</v>
      </c>
      <c r="N1304" t="str">
        <f t="shared" si="141"/>
        <v>1961-01-08</v>
      </c>
      <c r="O1304">
        <f t="shared" si="142"/>
        <v>51</v>
      </c>
      <c r="P1304" t="str">
        <f t="shared" si="143"/>
        <v>kobieta</v>
      </c>
      <c r="Q1304">
        <f t="shared" si="144"/>
        <v>209</v>
      </c>
      <c r="R1304">
        <f t="shared" si="145"/>
        <v>48</v>
      </c>
      <c r="S1304">
        <f t="shared" ca="1" si="146"/>
        <v>20</v>
      </c>
    </row>
    <row r="1305" spans="1:19">
      <c r="A1305" s="1" t="s">
        <v>19</v>
      </c>
      <c r="B1305" s="2">
        <v>624.58000000000004</v>
      </c>
      <c r="C1305" s="1">
        <v>624.58000000000004</v>
      </c>
      <c r="D1305" s="1" t="s">
        <v>198</v>
      </c>
      <c r="E1305" s="1">
        <v>98</v>
      </c>
      <c r="F1305" s="3">
        <v>5000</v>
      </c>
      <c r="G1305" s="1">
        <v>3</v>
      </c>
      <c r="H1305" s="1" t="s">
        <v>2569</v>
      </c>
      <c r="I1305" s="1" t="s">
        <v>200</v>
      </c>
      <c r="J1305" s="1" t="s">
        <v>16</v>
      </c>
      <c r="K1305" s="1" t="s">
        <v>2558</v>
      </c>
      <c r="L1305" s="1" t="s">
        <v>2570</v>
      </c>
      <c r="M1305">
        <f t="shared" si="140"/>
        <v>624.58000000000004</v>
      </c>
      <c r="N1305" t="str">
        <f t="shared" si="141"/>
        <v>1970-10-26</v>
      </c>
      <c r="O1305">
        <f t="shared" si="142"/>
        <v>42</v>
      </c>
      <c r="P1305" t="str">
        <f t="shared" si="143"/>
        <v>kobieta</v>
      </c>
      <c r="Q1305">
        <f t="shared" si="144"/>
        <v>88</v>
      </c>
      <c r="R1305">
        <f t="shared" si="145"/>
        <v>48</v>
      </c>
      <c r="S1305">
        <f t="shared" ca="1" si="146"/>
        <v>6</v>
      </c>
    </row>
    <row r="1306" spans="1:19">
      <c r="A1306" s="1" t="s">
        <v>12</v>
      </c>
      <c r="B1306" s="2">
        <v>500</v>
      </c>
      <c r="C1306" s="1">
        <v>500</v>
      </c>
      <c r="D1306" s="1" t="s">
        <v>1551</v>
      </c>
      <c r="E1306" s="1">
        <v>13</v>
      </c>
      <c r="F1306" s="3">
        <v>1900</v>
      </c>
      <c r="G1306" s="1">
        <v>2</v>
      </c>
      <c r="H1306" s="1" t="s">
        <v>2571</v>
      </c>
      <c r="I1306" s="1" t="s">
        <v>1553</v>
      </c>
      <c r="J1306" s="1" t="s">
        <v>16</v>
      </c>
      <c r="K1306" s="1" t="s">
        <v>2558</v>
      </c>
      <c r="L1306" s="1" t="s">
        <v>1381</v>
      </c>
      <c r="M1306">
        <f t="shared" si="140"/>
        <v>500</v>
      </c>
      <c r="N1306" t="str">
        <f t="shared" si="141"/>
        <v>1949-05-02</v>
      </c>
      <c r="O1306">
        <f t="shared" si="142"/>
        <v>63</v>
      </c>
      <c r="P1306" t="str">
        <f t="shared" si="143"/>
        <v>kobieta</v>
      </c>
      <c r="Q1306">
        <f t="shared" si="144"/>
        <v>92</v>
      </c>
      <c r="R1306">
        <f t="shared" si="145"/>
        <v>48</v>
      </c>
      <c r="S1306">
        <f t="shared" ca="1" si="146"/>
        <v>0</v>
      </c>
    </row>
    <row r="1307" spans="1:19">
      <c r="A1307" s="1" t="s">
        <v>19</v>
      </c>
      <c r="B1307" s="2">
        <v>500</v>
      </c>
      <c r="C1307" s="1">
        <v>500</v>
      </c>
      <c r="D1307" s="1" t="s">
        <v>914</v>
      </c>
      <c r="E1307" s="1">
        <v>11</v>
      </c>
      <c r="F1307" s="3">
        <v>1738.57</v>
      </c>
      <c r="G1307" s="1">
        <v>1</v>
      </c>
      <c r="H1307" s="1" t="s">
        <v>2572</v>
      </c>
      <c r="I1307" s="1" t="s">
        <v>916</v>
      </c>
      <c r="J1307" s="1" t="s">
        <v>16</v>
      </c>
      <c r="K1307" s="1" t="s">
        <v>2558</v>
      </c>
      <c r="L1307" s="1" t="s">
        <v>2330</v>
      </c>
      <c r="M1307">
        <f t="shared" si="140"/>
        <v>500</v>
      </c>
      <c r="N1307" t="str">
        <f t="shared" si="141"/>
        <v>1968-01-25</v>
      </c>
      <c r="O1307">
        <f t="shared" si="142"/>
        <v>44</v>
      </c>
      <c r="P1307" t="str">
        <f t="shared" si="143"/>
        <v>kobieta</v>
      </c>
      <c r="Q1307">
        <f t="shared" si="144"/>
        <v>61</v>
      </c>
      <c r="R1307">
        <f t="shared" si="145"/>
        <v>48</v>
      </c>
      <c r="S1307">
        <f t="shared" ca="1" si="146"/>
        <v>2</v>
      </c>
    </row>
    <row r="1308" spans="1:19">
      <c r="A1308" s="1" t="s">
        <v>12</v>
      </c>
      <c r="B1308" s="2">
        <v>400</v>
      </c>
      <c r="C1308" s="1">
        <v>400</v>
      </c>
      <c r="D1308" s="1" t="s">
        <v>1619</v>
      </c>
      <c r="E1308" s="1">
        <v>16</v>
      </c>
      <c r="F1308" s="3">
        <v>2084.79</v>
      </c>
      <c r="G1308" s="1">
        <v>2</v>
      </c>
      <c r="H1308" s="1" t="s">
        <v>2573</v>
      </c>
      <c r="I1308" s="1" t="s">
        <v>356</v>
      </c>
      <c r="J1308" s="1" t="s">
        <v>16</v>
      </c>
      <c r="K1308" s="1" t="s">
        <v>2558</v>
      </c>
      <c r="L1308" s="1" t="s">
        <v>1381</v>
      </c>
      <c r="M1308">
        <f t="shared" si="140"/>
        <v>400</v>
      </c>
      <c r="N1308" t="str">
        <f t="shared" si="141"/>
        <v>1949-01-01</v>
      </c>
      <c r="O1308">
        <f t="shared" si="142"/>
        <v>63</v>
      </c>
      <c r="P1308" t="str">
        <f t="shared" si="143"/>
        <v>kobieta</v>
      </c>
      <c r="Q1308">
        <f t="shared" si="144"/>
        <v>145</v>
      </c>
      <c r="R1308">
        <f t="shared" si="145"/>
        <v>48</v>
      </c>
      <c r="S1308">
        <f t="shared" ca="1" si="146"/>
        <v>0</v>
      </c>
    </row>
    <row r="1309" spans="1:19">
      <c r="A1309" s="1" t="s">
        <v>24</v>
      </c>
      <c r="B1309" s="2">
        <v>500</v>
      </c>
      <c r="C1309" s="1">
        <v>0</v>
      </c>
      <c r="D1309" s="1" t="s">
        <v>2574</v>
      </c>
      <c r="E1309" s="1">
        <v>98</v>
      </c>
      <c r="F1309" s="3">
        <v>1600</v>
      </c>
      <c r="G1309" s="1">
        <v>0</v>
      </c>
      <c r="H1309" s="1" t="s">
        <v>2575</v>
      </c>
      <c r="I1309" s="1" t="s">
        <v>2447</v>
      </c>
      <c r="J1309" s="1" t="s">
        <v>16</v>
      </c>
      <c r="K1309" s="1" t="s">
        <v>16</v>
      </c>
      <c r="L1309" s="1" t="s">
        <v>28</v>
      </c>
      <c r="M1309">
        <f t="shared" si="140"/>
        <v>500</v>
      </c>
      <c r="N1309" t="str">
        <f t="shared" si="141"/>
        <v>1974-04-08</v>
      </c>
      <c r="O1309">
        <f t="shared" si="142"/>
        <v>38</v>
      </c>
      <c r="P1309" t="str">
        <f t="shared" si="143"/>
        <v>mężczyzna</v>
      </c>
      <c r="Q1309">
        <f t="shared" si="144"/>
        <v>5</v>
      </c>
      <c r="R1309">
        <f t="shared" si="145"/>
        <v>48</v>
      </c>
      <c r="S1309">
        <f t="shared" ca="1" si="146"/>
        <v>0</v>
      </c>
    </row>
    <row r="1310" spans="1:19">
      <c r="A1310" s="1" t="s">
        <v>19</v>
      </c>
      <c r="B1310" s="2">
        <v>1000</v>
      </c>
      <c r="C1310" s="1">
        <v>300</v>
      </c>
      <c r="D1310" s="1" t="s">
        <v>2576</v>
      </c>
      <c r="E1310" s="1">
        <v>99</v>
      </c>
      <c r="F1310" s="3">
        <v>750</v>
      </c>
      <c r="G1310" s="1">
        <v>0</v>
      </c>
      <c r="H1310" s="1" t="s">
        <v>2577</v>
      </c>
      <c r="I1310" s="1" t="s">
        <v>1180</v>
      </c>
      <c r="J1310" s="1" t="s">
        <v>2578</v>
      </c>
      <c r="K1310" s="1" t="s">
        <v>2579</v>
      </c>
      <c r="L1310" s="1" t="s">
        <v>2570</v>
      </c>
      <c r="M1310">
        <f t="shared" si="140"/>
        <v>300</v>
      </c>
      <c r="N1310" t="str">
        <f t="shared" si="141"/>
        <v>1976-03-15</v>
      </c>
      <c r="O1310">
        <f t="shared" si="142"/>
        <v>36</v>
      </c>
      <c r="P1310" t="str">
        <f t="shared" si="143"/>
        <v>mężczyzna</v>
      </c>
      <c r="Q1310">
        <f t="shared" si="144"/>
        <v>1</v>
      </c>
      <c r="R1310">
        <f t="shared" si="145"/>
        <v>6</v>
      </c>
      <c r="S1310">
        <f t="shared" ca="1" si="146"/>
        <v>5</v>
      </c>
    </row>
    <row r="1311" spans="1:19">
      <c r="A1311" s="1" t="s">
        <v>19</v>
      </c>
      <c r="B1311" s="2">
        <v>400</v>
      </c>
      <c r="C1311" s="1">
        <v>400</v>
      </c>
      <c r="D1311" s="1" t="s">
        <v>2054</v>
      </c>
      <c r="E1311" s="1">
        <v>13</v>
      </c>
      <c r="F1311" s="3">
        <v>1017</v>
      </c>
      <c r="G1311" s="1">
        <v>1</v>
      </c>
      <c r="H1311" s="1" t="s">
        <v>2580</v>
      </c>
      <c r="I1311" s="1" t="s">
        <v>234</v>
      </c>
      <c r="J1311" s="1" t="s">
        <v>16</v>
      </c>
      <c r="K1311" s="1" t="s">
        <v>2579</v>
      </c>
      <c r="L1311" s="1" t="s">
        <v>1381</v>
      </c>
      <c r="M1311">
        <f t="shared" si="140"/>
        <v>400</v>
      </c>
      <c r="N1311" t="str">
        <f t="shared" si="141"/>
        <v>1943-02-01</v>
      </c>
      <c r="O1311">
        <f t="shared" si="142"/>
        <v>69</v>
      </c>
      <c r="P1311" t="str">
        <f t="shared" si="143"/>
        <v>kobieta</v>
      </c>
      <c r="Q1311">
        <f t="shared" si="144"/>
        <v>165</v>
      </c>
      <c r="R1311">
        <f t="shared" si="145"/>
        <v>48</v>
      </c>
      <c r="S1311">
        <f t="shared" ca="1" si="146"/>
        <v>0</v>
      </c>
    </row>
    <row r="1312" spans="1:19">
      <c r="A1312" s="1" t="s">
        <v>19</v>
      </c>
      <c r="B1312" s="2">
        <v>500</v>
      </c>
      <c r="C1312" s="1">
        <v>500</v>
      </c>
      <c r="D1312" s="1" t="s">
        <v>272</v>
      </c>
      <c r="E1312" s="1">
        <v>11</v>
      </c>
      <c r="F1312" s="3">
        <v>1700</v>
      </c>
      <c r="G1312" s="1">
        <v>0</v>
      </c>
      <c r="H1312" s="1" t="s">
        <v>2581</v>
      </c>
      <c r="I1312" s="1" t="s">
        <v>274</v>
      </c>
      <c r="J1312" s="1" t="s">
        <v>16</v>
      </c>
      <c r="K1312" s="1" t="s">
        <v>2579</v>
      </c>
      <c r="L1312" s="1" t="s">
        <v>2563</v>
      </c>
      <c r="M1312">
        <f t="shared" si="140"/>
        <v>500</v>
      </c>
      <c r="N1312" t="str">
        <f t="shared" si="141"/>
        <v>1964-09-09</v>
      </c>
      <c r="O1312">
        <f t="shared" si="142"/>
        <v>48</v>
      </c>
      <c r="P1312" t="str">
        <f t="shared" si="143"/>
        <v>kobieta</v>
      </c>
      <c r="Q1312">
        <f t="shared" si="144"/>
        <v>93</v>
      </c>
      <c r="R1312">
        <f t="shared" si="145"/>
        <v>48</v>
      </c>
      <c r="S1312">
        <f t="shared" ca="1" si="146"/>
        <v>0</v>
      </c>
    </row>
    <row r="1313" spans="1:19">
      <c r="A1313" s="1" t="s">
        <v>19</v>
      </c>
      <c r="B1313" s="2">
        <v>500</v>
      </c>
      <c r="C1313" s="1">
        <v>500</v>
      </c>
      <c r="D1313" s="1" t="s">
        <v>159</v>
      </c>
      <c r="E1313" s="1">
        <v>12</v>
      </c>
      <c r="F1313" s="3">
        <v>1952.35</v>
      </c>
      <c r="G1313" s="1">
        <v>1</v>
      </c>
      <c r="H1313" s="1" t="s">
        <v>2582</v>
      </c>
      <c r="I1313" s="1" t="s">
        <v>161</v>
      </c>
      <c r="J1313" s="1" t="s">
        <v>162</v>
      </c>
      <c r="K1313" s="1" t="s">
        <v>2579</v>
      </c>
      <c r="L1313" s="1" t="s">
        <v>2506</v>
      </c>
      <c r="M1313">
        <f t="shared" si="140"/>
        <v>500</v>
      </c>
      <c r="N1313" t="str">
        <f t="shared" si="141"/>
        <v>1967-10-17</v>
      </c>
      <c r="O1313">
        <f t="shared" si="142"/>
        <v>45</v>
      </c>
      <c r="P1313" t="str">
        <f t="shared" si="143"/>
        <v>mężczyzna</v>
      </c>
      <c r="Q1313">
        <f t="shared" si="144"/>
        <v>8</v>
      </c>
      <c r="R1313">
        <f t="shared" si="145"/>
        <v>3</v>
      </c>
      <c r="S1313">
        <f t="shared" ca="1" si="146"/>
        <v>4</v>
      </c>
    </row>
    <row r="1314" spans="1:19">
      <c r="A1314" s="1" t="s">
        <v>19</v>
      </c>
      <c r="B1314" s="2">
        <v>300</v>
      </c>
      <c r="C1314" s="1">
        <v>200</v>
      </c>
      <c r="D1314" s="1" t="s">
        <v>2583</v>
      </c>
      <c r="E1314" s="1">
        <v>99</v>
      </c>
      <c r="F1314" s="3">
        <v>670</v>
      </c>
      <c r="G1314" s="1">
        <v>0</v>
      </c>
      <c r="H1314" s="1" t="s">
        <v>2584</v>
      </c>
      <c r="I1314" s="1" t="s">
        <v>2585</v>
      </c>
      <c r="J1314" s="1" t="s">
        <v>2586</v>
      </c>
      <c r="K1314" s="1" t="s">
        <v>2579</v>
      </c>
      <c r="L1314" s="1" t="s">
        <v>2563</v>
      </c>
      <c r="M1314">
        <f t="shared" si="140"/>
        <v>200</v>
      </c>
      <c r="N1314" t="str">
        <f t="shared" si="141"/>
        <v>1955-09-20</v>
      </c>
      <c r="O1314">
        <f t="shared" si="142"/>
        <v>57</v>
      </c>
      <c r="P1314" t="str">
        <f t="shared" si="143"/>
        <v>kobieta</v>
      </c>
      <c r="Q1314">
        <f t="shared" si="144"/>
        <v>132</v>
      </c>
      <c r="R1314">
        <f t="shared" si="145"/>
        <v>43</v>
      </c>
      <c r="S1314">
        <f t="shared" ca="1" si="146"/>
        <v>0</v>
      </c>
    </row>
    <row r="1315" spans="1:19">
      <c r="A1315" s="1" t="s">
        <v>24</v>
      </c>
      <c r="B1315" s="2">
        <v>1000</v>
      </c>
      <c r="C1315" s="1">
        <v>0</v>
      </c>
      <c r="D1315" s="1" t="s">
        <v>2587</v>
      </c>
      <c r="E1315" s="1">
        <v>12</v>
      </c>
      <c r="F1315" s="3">
        <v>2800</v>
      </c>
      <c r="G1315" s="1">
        <v>0</v>
      </c>
      <c r="H1315" s="1" t="s">
        <v>2588</v>
      </c>
      <c r="I1315" s="1" t="s">
        <v>2589</v>
      </c>
      <c r="J1315" s="1" t="s">
        <v>2590</v>
      </c>
      <c r="K1315" s="1" t="s">
        <v>16</v>
      </c>
      <c r="L1315" s="1" t="s">
        <v>28</v>
      </c>
      <c r="M1315">
        <f t="shared" si="140"/>
        <v>1000</v>
      </c>
      <c r="N1315" t="str">
        <f t="shared" si="141"/>
        <v>1990-09-18</v>
      </c>
      <c r="O1315">
        <f t="shared" si="142"/>
        <v>22</v>
      </c>
      <c r="P1315" t="str">
        <f t="shared" si="143"/>
        <v>mężczyzna</v>
      </c>
      <c r="Q1315">
        <f t="shared" si="144"/>
        <v>22</v>
      </c>
      <c r="R1315">
        <f t="shared" si="145"/>
        <v>19</v>
      </c>
      <c r="S1315">
        <f t="shared" ca="1" si="146"/>
        <v>0</v>
      </c>
    </row>
    <row r="1316" spans="1:19">
      <c r="A1316" s="1" t="s">
        <v>24</v>
      </c>
      <c r="B1316" s="2">
        <v>1000</v>
      </c>
      <c r="C1316" s="1">
        <v>0</v>
      </c>
      <c r="D1316" s="1" t="s">
        <v>2591</v>
      </c>
      <c r="E1316" s="1">
        <v>99</v>
      </c>
      <c r="F1316" s="3">
        <v>4800</v>
      </c>
      <c r="G1316" s="1">
        <v>0</v>
      </c>
      <c r="H1316" s="1" t="s">
        <v>2592</v>
      </c>
      <c r="I1316" s="1" t="s">
        <v>1390</v>
      </c>
      <c r="J1316" s="1" t="s">
        <v>1405</v>
      </c>
      <c r="K1316" s="1" t="s">
        <v>16</v>
      </c>
      <c r="L1316" s="1" t="s">
        <v>28</v>
      </c>
      <c r="M1316">
        <f t="shared" si="140"/>
        <v>1000</v>
      </c>
      <c r="N1316" t="str">
        <f t="shared" si="141"/>
        <v>1992-07-08</v>
      </c>
      <c r="O1316">
        <f t="shared" si="142"/>
        <v>20</v>
      </c>
      <c r="P1316" t="str">
        <f t="shared" si="143"/>
        <v>kobieta</v>
      </c>
      <c r="Q1316">
        <f t="shared" si="144"/>
        <v>9</v>
      </c>
      <c r="R1316">
        <f t="shared" si="145"/>
        <v>3</v>
      </c>
      <c r="S1316">
        <f t="shared" ca="1" si="146"/>
        <v>0</v>
      </c>
    </row>
    <row r="1317" spans="1:19">
      <c r="A1317" s="1" t="s">
        <v>19</v>
      </c>
      <c r="B1317" s="2">
        <v>700</v>
      </c>
      <c r="C1317" s="1">
        <v>300</v>
      </c>
      <c r="D1317" s="1" t="s">
        <v>2593</v>
      </c>
      <c r="E1317" s="1">
        <v>16</v>
      </c>
      <c r="F1317" s="3">
        <v>957</v>
      </c>
      <c r="G1317" s="1">
        <v>0</v>
      </c>
      <c r="H1317" s="1" t="s">
        <v>2594</v>
      </c>
      <c r="I1317" s="1" t="s">
        <v>2595</v>
      </c>
      <c r="J1317" s="1" t="s">
        <v>16</v>
      </c>
      <c r="K1317" s="1" t="s">
        <v>730</v>
      </c>
      <c r="L1317" s="1" t="s">
        <v>2330</v>
      </c>
      <c r="M1317">
        <f t="shared" si="140"/>
        <v>300</v>
      </c>
      <c r="N1317" t="str">
        <f t="shared" si="141"/>
        <v>1945-05-19</v>
      </c>
      <c r="O1317">
        <f t="shared" si="142"/>
        <v>67</v>
      </c>
      <c r="P1317" t="str">
        <f t="shared" si="143"/>
        <v>kobieta</v>
      </c>
      <c r="Q1317">
        <f t="shared" si="144"/>
        <v>204</v>
      </c>
      <c r="R1317">
        <f t="shared" si="145"/>
        <v>48</v>
      </c>
      <c r="S1317">
        <f t="shared" ca="1" si="146"/>
        <v>0</v>
      </c>
    </row>
    <row r="1318" spans="1:19">
      <c r="A1318" s="1" t="s">
        <v>19</v>
      </c>
      <c r="B1318" s="2">
        <v>278.98</v>
      </c>
      <c r="C1318" s="1">
        <v>278.98</v>
      </c>
      <c r="D1318" s="1" t="s">
        <v>900</v>
      </c>
      <c r="E1318" s="1">
        <v>98</v>
      </c>
      <c r="F1318" s="3">
        <v>1200</v>
      </c>
      <c r="G1318" s="1">
        <v>8</v>
      </c>
      <c r="H1318" s="1" t="s">
        <v>2596</v>
      </c>
      <c r="I1318" s="1" t="s">
        <v>902</v>
      </c>
      <c r="J1318" s="1" t="s">
        <v>16</v>
      </c>
      <c r="K1318" s="1" t="s">
        <v>730</v>
      </c>
      <c r="L1318" s="1" t="s">
        <v>2563</v>
      </c>
      <c r="M1318">
        <f t="shared" si="140"/>
        <v>278.98</v>
      </c>
      <c r="N1318" t="str">
        <f t="shared" si="141"/>
        <v>1973-10-31</v>
      </c>
      <c r="O1318">
        <f t="shared" si="142"/>
        <v>39</v>
      </c>
      <c r="P1318" t="str">
        <f t="shared" si="143"/>
        <v>kobieta</v>
      </c>
      <c r="Q1318">
        <f t="shared" si="144"/>
        <v>50</v>
      </c>
      <c r="R1318">
        <f t="shared" si="145"/>
        <v>48</v>
      </c>
      <c r="S1318">
        <f t="shared" ca="1" si="146"/>
        <v>0</v>
      </c>
    </row>
    <row r="1319" spans="1:19">
      <c r="A1319" s="1" t="s">
        <v>12</v>
      </c>
      <c r="B1319" s="2">
        <v>200</v>
      </c>
      <c r="C1319" s="1">
        <v>200</v>
      </c>
      <c r="D1319" s="1" t="s">
        <v>420</v>
      </c>
      <c r="E1319" s="1">
        <v>13</v>
      </c>
      <c r="F1319" s="3">
        <v>714</v>
      </c>
      <c r="G1319" s="1">
        <v>9</v>
      </c>
      <c r="H1319" s="1" t="s">
        <v>2597</v>
      </c>
      <c r="I1319" s="1" t="s">
        <v>422</v>
      </c>
      <c r="J1319" s="1" t="s">
        <v>16</v>
      </c>
      <c r="K1319" s="1" t="s">
        <v>730</v>
      </c>
      <c r="L1319" s="1" t="s">
        <v>2330</v>
      </c>
      <c r="M1319">
        <f t="shared" si="140"/>
        <v>200</v>
      </c>
      <c r="N1319" t="str">
        <f t="shared" si="141"/>
        <v>1949-07-16</v>
      </c>
      <c r="O1319">
        <f t="shared" si="142"/>
        <v>63</v>
      </c>
      <c r="P1319" t="str">
        <f t="shared" si="143"/>
        <v>kobieta</v>
      </c>
      <c r="Q1319">
        <f t="shared" si="144"/>
        <v>226</v>
      </c>
      <c r="R1319">
        <f t="shared" si="145"/>
        <v>48</v>
      </c>
      <c r="S1319">
        <f t="shared" ca="1" si="146"/>
        <v>0</v>
      </c>
    </row>
    <row r="1320" spans="1:19">
      <c r="A1320" s="1" t="s">
        <v>19</v>
      </c>
      <c r="B1320" s="2">
        <v>883.93</v>
      </c>
      <c r="C1320" s="1">
        <v>883.93</v>
      </c>
      <c r="D1320" s="1" t="s">
        <v>923</v>
      </c>
      <c r="E1320" s="1">
        <v>13</v>
      </c>
      <c r="F1320" s="3">
        <v>2474</v>
      </c>
      <c r="G1320" s="1">
        <v>3</v>
      </c>
      <c r="H1320" s="1" t="s">
        <v>2598</v>
      </c>
      <c r="I1320" s="1" t="s">
        <v>925</v>
      </c>
      <c r="J1320" s="1" t="s">
        <v>16</v>
      </c>
      <c r="K1320" s="1" t="s">
        <v>730</v>
      </c>
      <c r="L1320" s="1" t="s">
        <v>2506</v>
      </c>
      <c r="M1320">
        <f t="shared" si="140"/>
        <v>883.93</v>
      </c>
      <c r="N1320" t="str">
        <f t="shared" si="141"/>
        <v>1949-02-26</v>
      </c>
      <c r="O1320">
        <f t="shared" si="142"/>
        <v>63</v>
      </c>
      <c r="P1320" t="str">
        <f t="shared" si="143"/>
        <v>mężczyzna</v>
      </c>
      <c r="Q1320">
        <f t="shared" si="144"/>
        <v>19</v>
      </c>
      <c r="R1320">
        <f t="shared" si="145"/>
        <v>48</v>
      </c>
      <c r="S1320">
        <f t="shared" ca="1" si="146"/>
        <v>3</v>
      </c>
    </row>
    <row r="1321" spans="1:19">
      <c r="A1321" s="1" t="s">
        <v>24</v>
      </c>
      <c r="B1321" s="2">
        <v>1000</v>
      </c>
      <c r="C1321" s="1">
        <v>0</v>
      </c>
      <c r="D1321" s="1" t="s">
        <v>2599</v>
      </c>
      <c r="E1321" s="1">
        <v>99</v>
      </c>
      <c r="F1321" s="3">
        <v>1190</v>
      </c>
      <c r="G1321" s="1">
        <v>0</v>
      </c>
      <c r="H1321" s="1" t="s">
        <v>2600</v>
      </c>
      <c r="I1321" s="1" t="s">
        <v>558</v>
      </c>
      <c r="J1321" s="1" t="s">
        <v>246</v>
      </c>
      <c r="K1321" s="1" t="s">
        <v>16</v>
      </c>
      <c r="L1321" s="1" t="s">
        <v>28</v>
      </c>
      <c r="M1321">
        <f t="shared" si="140"/>
        <v>1000</v>
      </c>
      <c r="N1321" t="str">
        <f t="shared" si="141"/>
        <v>1977-03-13</v>
      </c>
      <c r="O1321">
        <f t="shared" si="142"/>
        <v>35</v>
      </c>
      <c r="P1321" t="str">
        <f t="shared" si="143"/>
        <v>mężczyzna</v>
      </c>
      <c r="Q1321">
        <f t="shared" si="144"/>
        <v>3</v>
      </c>
      <c r="R1321">
        <f t="shared" si="145"/>
        <v>1</v>
      </c>
      <c r="S1321">
        <f t="shared" ca="1" si="146"/>
        <v>0</v>
      </c>
    </row>
    <row r="1322" spans="1:19">
      <c r="A1322" s="1" t="s">
        <v>19</v>
      </c>
      <c r="B1322" s="2">
        <v>300</v>
      </c>
      <c r="C1322" s="1">
        <v>300</v>
      </c>
      <c r="D1322" s="1" t="s">
        <v>929</v>
      </c>
      <c r="E1322" s="1">
        <v>13</v>
      </c>
      <c r="F1322" s="3">
        <v>1000</v>
      </c>
      <c r="G1322" s="1">
        <v>5</v>
      </c>
      <c r="H1322" s="1" t="s">
        <v>2601</v>
      </c>
      <c r="I1322" s="1" t="s">
        <v>266</v>
      </c>
      <c r="J1322" s="1" t="s">
        <v>16</v>
      </c>
      <c r="K1322" s="1" t="s">
        <v>730</v>
      </c>
      <c r="L1322" s="1" t="s">
        <v>2330</v>
      </c>
      <c r="M1322">
        <f t="shared" si="140"/>
        <v>300</v>
      </c>
      <c r="N1322" t="str">
        <f t="shared" si="141"/>
        <v>1941-01-26</v>
      </c>
      <c r="O1322">
        <f t="shared" si="142"/>
        <v>71</v>
      </c>
      <c r="P1322" t="str">
        <f t="shared" si="143"/>
        <v>kobieta</v>
      </c>
      <c r="Q1322">
        <f t="shared" si="144"/>
        <v>68</v>
      </c>
      <c r="R1322">
        <f t="shared" si="145"/>
        <v>48</v>
      </c>
      <c r="S1322">
        <f t="shared" ca="1" si="146"/>
        <v>0</v>
      </c>
    </row>
    <row r="1323" spans="1:19">
      <c r="A1323" s="1" t="s">
        <v>12</v>
      </c>
      <c r="B1323" s="2">
        <v>400</v>
      </c>
      <c r="C1323" s="1">
        <v>400</v>
      </c>
      <c r="D1323" s="1" t="s">
        <v>2078</v>
      </c>
      <c r="E1323" s="1">
        <v>13</v>
      </c>
      <c r="F1323" s="3">
        <v>1016</v>
      </c>
      <c r="G1323" s="1">
        <v>1</v>
      </c>
      <c r="H1323" s="1" t="s">
        <v>2602</v>
      </c>
      <c r="I1323" s="1" t="s">
        <v>1014</v>
      </c>
      <c r="J1323" s="1" t="s">
        <v>16</v>
      </c>
      <c r="K1323" s="1" t="s">
        <v>730</v>
      </c>
      <c r="L1323" s="1" t="s">
        <v>2091</v>
      </c>
      <c r="M1323">
        <f t="shared" si="140"/>
        <v>400</v>
      </c>
      <c r="N1323" t="str">
        <f t="shared" si="141"/>
        <v>1941-11-12</v>
      </c>
      <c r="O1323">
        <f t="shared" si="142"/>
        <v>71</v>
      </c>
      <c r="P1323" t="str">
        <f t="shared" si="143"/>
        <v>kobieta</v>
      </c>
      <c r="Q1323">
        <f t="shared" si="144"/>
        <v>193</v>
      </c>
      <c r="R1323">
        <f t="shared" si="145"/>
        <v>48</v>
      </c>
      <c r="S1323">
        <f t="shared" ca="1" si="146"/>
        <v>0</v>
      </c>
    </row>
    <row r="1324" spans="1:19">
      <c r="A1324" s="1" t="s">
        <v>19</v>
      </c>
      <c r="B1324" s="2">
        <v>561.79999999999995</v>
      </c>
      <c r="C1324" s="1">
        <v>561.79999999999995</v>
      </c>
      <c r="D1324" s="1" t="s">
        <v>36</v>
      </c>
      <c r="E1324" s="1">
        <v>16</v>
      </c>
      <c r="F1324" s="3">
        <v>892</v>
      </c>
      <c r="G1324" s="1">
        <v>2</v>
      </c>
      <c r="H1324" s="1" t="s">
        <v>2603</v>
      </c>
      <c r="I1324" s="1" t="s">
        <v>38</v>
      </c>
      <c r="J1324" s="1" t="s">
        <v>16</v>
      </c>
      <c r="K1324" s="1" t="s">
        <v>730</v>
      </c>
      <c r="L1324" s="1" t="s">
        <v>2604</v>
      </c>
      <c r="M1324">
        <f t="shared" si="140"/>
        <v>561.79999999999995</v>
      </c>
      <c r="N1324" t="str">
        <f t="shared" si="141"/>
        <v>1946-01-22</v>
      </c>
      <c r="O1324">
        <f t="shared" si="142"/>
        <v>66</v>
      </c>
      <c r="P1324" t="str">
        <f t="shared" si="143"/>
        <v>kobieta</v>
      </c>
      <c r="Q1324">
        <f t="shared" si="144"/>
        <v>205</v>
      </c>
      <c r="R1324">
        <f t="shared" si="145"/>
        <v>48</v>
      </c>
      <c r="S1324">
        <f t="shared" ca="1" si="146"/>
        <v>1</v>
      </c>
    </row>
    <row r="1325" spans="1:19">
      <c r="A1325" s="1" t="s">
        <v>19</v>
      </c>
      <c r="B1325" s="2">
        <v>1500</v>
      </c>
      <c r="C1325" s="1">
        <v>1500</v>
      </c>
      <c r="D1325" s="1" t="s">
        <v>1209</v>
      </c>
      <c r="E1325" s="1">
        <v>98</v>
      </c>
      <c r="F1325" s="3">
        <v>3000</v>
      </c>
      <c r="G1325" s="1">
        <v>1</v>
      </c>
      <c r="H1325" s="1" t="s">
        <v>2605</v>
      </c>
      <c r="I1325" s="1" t="s">
        <v>1211</v>
      </c>
      <c r="J1325" s="1" t="s">
        <v>16</v>
      </c>
      <c r="K1325" s="1" t="s">
        <v>730</v>
      </c>
      <c r="L1325" s="1" t="s">
        <v>2606</v>
      </c>
      <c r="M1325">
        <f t="shared" si="140"/>
        <v>1500</v>
      </c>
      <c r="N1325" t="str">
        <f t="shared" si="141"/>
        <v>1954-03-28</v>
      </c>
      <c r="O1325">
        <f t="shared" si="142"/>
        <v>58</v>
      </c>
      <c r="P1325" t="str">
        <f t="shared" si="143"/>
        <v>mężczyzna</v>
      </c>
      <c r="Q1325">
        <f t="shared" si="144"/>
        <v>73</v>
      </c>
      <c r="R1325">
        <f t="shared" si="145"/>
        <v>48</v>
      </c>
      <c r="S1325">
        <f t="shared" ca="1" si="146"/>
        <v>6</v>
      </c>
    </row>
    <row r="1326" spans="1:19">
      <c r="A1326" s="1" t="s">
        <v>12</v>
      </c>
      <c r="B1326" s="2">
        <v>600</v>
      </c>
      <c r="C1326" s="1">
        <v>600</v>
      </c>
      <c r="D1326" s="1" t="s">
        <v>1128</v>
      </c>
      <c r="E1326" s="1">
        <v>98</v>
      </c>
      <c r="F1326" s="3">
        <v>3014</v>
      </c>
      <c r="G1326" s="1">
        <v>0</v>
      </c>
      <c r="H1326" s="1" t="s">
        <v>2607</v>
      </c>
      <c r="I1326" s="1" t="s">
        <v>1130</v>
      </c>
      <c r="J1326" s="1" t="s">
        <v>16</v>
      </c>
      <c r="K1326" s="1" t="s">
        <v>730</v>
      </c>
      <c r="L1326" s="1" t="s">
        <v>2330</v>
      </c>
      <c r="M1326">
        <f t="shared" si="140"/>
        <v>600</v>
      </c>
      <c r="N1326" t="str">
        <f t="shared" si="141"/>
        <v>1969-09-05</v>
      </c>
      <c r="O1326">
        <f t="shared" si="142"/>
        <v>43</v>
      </c>
      <c r="P1326" t="str">
        <f t="shared" si="143"/>
        <v>mężczyzna</v>
      </c>
      <c r="Q1326">
        <f t="shared" si="144"/>
        <v>106</v>
      </c>
      <c r="R1326">
        <f t="shared" si="145"/>
        <v>48</v>
      </c>
      <c r="S1326">
        <f t="shared" ca="1" si="146"/>
        <v>0</v>
      </c>
    </row>
    <row r="1327" spans="1:19">
      <c r="A1327" s="1" t="s">
        <v>19</v>
      </c>
      <c r="B1327" s="2">
        <v>900</v>
      </c>
      <c r="C1327" s="1">
        <v>900</v>
      </c>
      <c r="D1327" s="1" t="s">
        <v>1020</v>
      </c>
      <c r="E1327" s="1">
        <v>17</v>
      </c>
      <c r="F1327" s="3">
        <v>684</v>
      </c>
      <c r="G1327" s="1">
        <v>8</v>
      </c>
      <c r="H1327" s="1" t="s">
        <v>2608</v>
      </c>
      <c r="I1327" s="1" t="s">
        <v>1022</v>
      </c>
      <c r="J1327" s="1" t="s">
        <v>1023</v>
      </c>
      <c r="K1327" s="1" t="s">
        <v>730</v>
      </c>
      <c r="L1327" s="1" t="s">
        <v>2563</v>
      </c>
      <c r="M1327">
        <f t="shared" si="140"/>
        <v>900</v>
      </c>
      <c r="N1327" t="str">
        <f t="shared" si="141"/>
        <v>1953-05-21</v>
      </c>
      <c r="O1327">
        <f t="shared" si="142"/>
        <v>59</v>
      </c>
      <c r="P1327" t="str">
        <f t="shared" si="143"/>
        <v>kobieta</v>
      </c>
      <c r="Q1327">
        <f t="shared" si="144"/>
        <v>194</v>
      </c>
      <c r="R1327">
        <f t="shared" si="145"/>
        <v>15</v>
      </c>
      <c r="S1327">
        <f t="shared" ca="1" si="146"/>
        <v>0</v>
      </c>
    </row>
    <row r="1328" spans="1:19">
      <c r="A1328" s="1" t="s">
        <v>19</v>
      </c>
      <c r="B1328" s="2">
        <v>200</v>
      </c>
      <c r="C1328" s="1">
        <v>200</v>
      </c>
      <c r="D1328" s="1" t="s">
        <v>64</v>
      </c>
      <c r="E1328" s="1">
        <v>13</v>
      </c>
      <c r="F1328" s="3">
        <v>997</v>
      </c>
      <c r="G1328" s="1">
        <v>8</v>
      </c>
      <c r="H1328" s="1" t="s">
        <v>2609</v>
      </c>
      <c r="I1328" s="1" t="s">
        <v>66</v>
      </c>
      <c r="J1328" s="1" t="s">
        <v>16</v>
      </c>
      <c r="K1328" s="1" t="s">
        <v>730</v>
      </c>
      <c r="L1328" s="1" t="s">
        <v>2330</v>
      </c>
      <c r="M1328">
        <f t="shared" si="140"/>
        <v>200</v>
      </c>
      <c r="N1328" t="str">
        <f t="shared" si="141"/>
        <v>1950-01-10</v>
      </c>
      <c r="O1328">
        <f t="shared" si="142"/>
        <v>62</v>
      </c>
      <c r="P1328" t="str">
        <f t="shared" si="143"/>
        <v>kobieta</v>
      </c>
      <c r="Q1328">
        <f t="shared" si="144"/>
        <v>83</v>
      </c>
      <c r="R1328">
        <f t="shared" si="145"/>
        <v>48</v>
      </c>
      <c r="S1328">
        <f t="shared" ca="1" si="146"/>
        <v>0</v>
      </c>
    </row>
    <row r="1329" spans="1:19">
      <c r="A1329" s="1" t="s">
        <v>19</v>
      </c>
      <c r="B1329" s="2">
        <v>530</v>
      </c>
      <c r="C1329" s="1">
        <v>530</v>
      </c>
      <c r="D1329" s="1" t="s">
        <v>378</v>
      </c>
      <c r="E1329" s="1">
        <v>13</v>
      </c>
      <c r="F1329" s="3">
        <v>1691.3</v>
      </c>
      <c r="G1329" s="1">
        <v>4</v>
      </c>
      <c r="H1329" s="1" t="s">
        <v>2610</v>
      </c>
      <c r="I1329" s="1" t="s">
        <v>281</v>
      </c>
      <c r="J1329" s="1" t="s">
        <v>16</v>
      </c>
      <c r="K1329" s="1" t="s">
        <v>2611</v>
      </c>
      <c r="L1329" s="1" t="s">
        <v>2476</v>
      </c>
      <c r="M1329">
        <f t="shared" si="140"/>
        <v>530</v>
      </c>
      <c r="N1329" t="str">
        <f t="shared" si="141"/>
        <v>1949-07-18</v>
      </c>
      <c r="O1329">
        <f t="shared" si="142"/>
        <v>63</v>
      </c>
      <c r="P1329" t="str">
        <f t="shared" si="143"/>
        <v>kobieta</v>
      </c>
      <c r="Q1329">
        <f t="shared" si="144"/>
        <v>77</v>
      </c>
      <c r="R1329">
        <f t="shared" si="145"/>
        <v>48</v>
      </c>
      <c r="S1329">
        <f t="shared" ca="1" si="146"/>
        <v>10</v>
      </c>
    </row>
    <row r="1330" spans="1:19">
      <c r="A1330" s="1" t="s">
        <v>19</v>
      </c>
      <c r="B1330" s="2">
        <v>1000</v>
      </c>
      <c r="C1330" s="1">
        <v>1000</v>
      </c>
      <c r="D1330" s="1" t="s">
        <v>1040</v>
      </c>
      <c r="E1330" s="1">
        <v>13</v>
      </c>
      <c r="F1330" s="3">
        <v>930</v>
      </c>
      <c r="G1330" s="1">
        <v>2</v>
      </c>
      <c r="H1330" s="1" t="s">
        <v>2612</v>
      </c>
      <c r="I1330" s="1" t="s">
        <v>1042</v>
      </c>
      <c r="J1330" s="1" t="s">
        <v>16</v>
      </c>
      <c r="K1330" s="1" t="s">
        <v>2611</v>
      </c>
      <c r="L1330" s="1" t="s">
        <v>2330</v>
      </c>
      <c r="M1330">
        <f t="shared" si="140"/>
        <v>1000</v>
      </c>
      <c r="N1330" t="str">
        <f t="shared" si="141"/>
        <v>1946-01-01</v>
      </c>
      <c r="O1330">
        <f t="shared" si="142"/>
        <v>66</v>
      </c>
      <c r="P1330" t="str">
        <f t="shared" si="143"/>
        <v>kobieta</v>
      </c>
      <c r="Q1330">
        <f t="shared" si="144"/>
        <v>135</v>
      </c>
      <c r="R1330">
        <f t="shared" si="145"/>
        <v>48</v>
      </c>
      <c r="S1330">
        <f t="shared" ca="1" si="146"/>
        <v>0</v>
      </c>
    </row>
    <row r="1331" spans="1:19">
      <c r="A1331" s="1" t="s">
        <v>24</v>
      </c>
      <c r="B1331" s="2">
        <v>200</v>
      </c>
      <c r="C1331" s="1">
        <v>0</v>
      </c>
      <c r="D1331" s="1" t="s">
        <v>2613</v>
      </c>
      <c r="E1331" s="1">
        <v>13</v>
      </c>
      <c r="F1331" s="3">
        <v>620</v>
      </c>
      <c r="G1331" s="1">
        <v>0</v>
      </c>
      <c r="H1331" s="1" t="s">
        <v>2614</v>
      </c>
      <c r="I1331" s="1" t="s">
        <v>2282</v>
      </c>
      <c r="J1331" s="1" t="s">
        <v>16</v>
      </c>
      <c r="K1331" s="1" t="s">
        <v>16</v>
      </c>
      <c r="L1331" s="1" t="s">
        <v>28</v>
      </c>
      <c r="M1331">
        <f t="shared" si="140"/>
        <v>200</v>
      </c>
      <c r="N1331" t="str">
        <f t="shared" si="141"/>
        <v>1937-05-25</v>
      </c>
      <c r="O1331">
        <f t="shared" si="142"/>
        <v>75</v>
      </c>
      <c r="P1331" t="str">
        <f t="shared" si="143"/>
        <v>kobieta</v>
      </c>
      <c r="Q1331">
        <f t="shared" si="144"/>
        <v>157</v>
      </c>
      <c r="R1331">
        <f t="shared" si="145"/>
        <v>48</v>
      </c>
      <c r="S1331">
        <f t="shared" ca="1" si="146"/>
        <v>0</v>
      </c>
    </row>
    <row r="1332" spans="1:19">
      <c r="A1332" s="1" t="s">
        <v>309</v>
      </c>
      <c r="B1332" s="2">
        <v>1000</v>
      </c>
      <c r="C1332" s="1">
        <v>500</v>
      </c>
      <c r="D1332" s="1" t="s">
        <v>2615</v>
      </c>
      <c r="E1332" s="1">
        <v>13</v>
      </c>
      <c r="F1332" s="3">
        <v>2000</v>
      </c>
      <c r="G1332" s="1">
        <v>0</v>
      </c>
      <c r="H1332" s="1" t="s">
        <v>2616</v>
      </c>
      <c r="I1332" s="1" t="s">
        <v>2617</v>
      </c>
      <c r="J1332" s="1" t="s">
        <v>16</v>
      </c>
      <c r="K1332" s="1" t="s">
        <v>2611</v>
      </c>
      <c r="L1332" s="1" t="s">
        <v>2618</v>
      </c>
      <c r="M1332">
        <f t="shared" si="140"/>
        <v>500</v>
      </c>
      <c r="N1332" t="str">
        <f t="shared" si="141"/>
        <v>1968-05-25</v>
      </c>
      <c r="O1332">
        <f t="shared" si="142"/>
        <v>44</v>
      </c>
      <c r="P1332" t="str">
        <f t="shared" si="143"/>
        <v>mężczyzna</v>
      </c>
      <c r="Q1332">
        <f t="shared" si="144"/>
        <v>21</v>
      </c>
      <c r="R1332">
        <f t="shared" si="145"/>
        <v>48</v>
      </c>
      <c r="S1332">
        <f t="shared" ca="1" si="146"/>
        <v>212</v>
      </c>
    </row>
    <row r="1333" spans="1:19">
      <c r="A1333" s="1" t="s">
        <v>56</v>
      </c>
      <c r="B1333" s="2">
        <v>500</v>
      </c>
      <c r="C1333" s="1">
        <v>500</v>
      </c>
      <c r="D1333" s="1" t="s">
        <v>1512</v>
      </c>
      <c r="E1333" s="1">
        <v>11</v>
      </c>
      <c r="F1333" s="3">
        <v>1870</v>
      </c>
      <c r="G1333" s="1">
        <v>1</v>
      </c>
      <c r="H1333" s="1" t="s">
        <v>2619</v>
      </c>
      <c r="I1333" s="1" t="s">
        <v>1514</v>
      </c>
      <c r="J1333" s="1" t="s">
        <v>16</v>
      </c>
      <c r="K1333" s="1" t="s">
        <v>2611</v>
      </c>
      <c r="L1333" s="1" t="s">
        <v>28</v>
      </c>
      <c r="M1333">
        <f t="shared" si="140"/>
        <v>500</v>
      </c>
      <c r="N1333" t="str">
        <f t="shared" si="141"/>
        <v>1970-09-25</v>
      </c>
      <c r="O1333">
        <f t="shared" si="142"/>
        <v>42</v>
      </c>
      <c r="P1333" t="str">
        <f t="shared" si="143"/>
        <v>kobieta</v>
      </c>
      <c r="Q1333">
        <f t="shared" si="144"/>
        <v>114</v>
      </c>
      <c r="R1333">
        <f t="shared" si="145"/>
        <v>48</v>
      </c>
      <c r="S1333">
        <f t="shared" ca="1" si="146"/>
        <v>5155</v>
      </c>
    </row>
    <row r="1334" spans="1:19">
      <c r="A1334" s="1" t="s">
        <v>19</v>
      </c>
      <c r="B1334" s="2">
        <v>1500</v>
      </c>
      <c r="C1334" s="1">
        <v>1300</v>
      </c>
      <c r="D1334" s="1" t="s">
        <v>853</v>
      </c>
      <c r="E1334" s="1">
        <v>16</v>
      </c>
      <c r="F1334" s="3">
        <v>2300</v>
      </c>
      <c r="G1334" s="1">
        <v>0</v>
      </c>
      <c r="H1334" s="1" t="s">
        <v>2620</v>
      </c>
      <c r="I1334" s="1" t="s">
        <v>855</v>
      </c>
      <c r="J1334" s="1" t="s">
        <v>16</v>
      </c>
      <c r="K1334" s="1" t="s">
        <v>2611</v>
      </c>
      <c r="L1334" s="1" t="s">
        <v>2621</v>
      </c>
      <c r="M1334">
        <f t="shared" si="140"/>
        <v>1300</v>
      </c>
      <c r="N1334" t="str">
        <f t="shared" si="141"/>
        <v>1956-06-30</v>
      </c>
      <c r="O1334">
        <f t="shared" si="142"/>
        <v>56</v>
      </c>
      <c r="P1334" t="str">
        <f t="shared" si="143"/>
        <v>kobieta</v>
      </c>
      <c r="Q1334">
        <f t="shared" si="144"/>
        <v>67</v>
      </c>
      <c r="R1334">
        <f t="shared" si="145"/>
        <v>48</v>
      </c>
      <c r="S1334">
        <f t="shared" ca="1" si="146"/>
        <v>23</v>
      </c>
    </row>
    <row r="1335" spans="1:19">
      <c r="A1335" s="1" t="s">
        <v>19</v>
      </c>
      <c r="B1335" s="2">
        <v>600</v>
      </c>
      <c r="C1335" s="1">
        <v>600</v>
      </c>
      <c r="D1335" s="1" t="s">
        <v>1118</v>
      </c>
      <c r="E1335" s="1">
        <v>13</v>
      </c>
      <c r="F1335" s="3">
        <v>640</v>
      </c>
      <c r="G1335" s="1">
        <v>2</v>
      </c>
      <c r="H1335" s="1" t="s">
        <v>2622</v>
      </c>
      <c r="I1335" s="1" t="s">
        <v>1120</v>
      </c>
      <c r="J1335" s="1" t="s">
        <v>16</v>
      </c>
      <c r="K1335" s="1" t="s">
        <v>2611</v>
      </c>
      <c r="L1335" s="1" t="s">
        <v>2604</v>
      </c>
      <c r="M1335">
        <f t="shared" si="140"/>
        <v>600</v>
      </c>
      <c r="N1335" t="str">
        <f t="shared" si="141"/>
        <v>1939-11-24</v>
      </c>
      <c r="O1335">
        <f t="shared" si="142"/>
        <v>73</v>
      </c>
      <c r="P1335" t="str">
        <f t="shared" si="143"/>
        <v>kobieta</v>
      </c>
      <c r="Q1335">
        <f t="shared" si="144"/>
        <v>143</v>
      </c>
      <c r="R1335">
        <f t="shared" si="145"/>
        <v>48</v>
      </c>
      <c r="S1335">
        <f t="shared" ca="1" si="146"/>
        <v>0</v>
      </c>
    </row>
    <row r="1336" spans="1:19">
      <c r="A1336" s="1" t="s">
        <v>19</v>
      </c>
      <c r="B1336" s="2">
        <v>350</v>
      </c>
      <c r="C1336" s="1">
        <v>350</v>
      </c>
      <c r="D1336" s="1" t="s">
        <v>108</v>
      </c>
      <c r="E1336" s="1">
        <v>13</v>
      </c>
      <c r="F1336" s="3">
        <v>729.03</v>
      </c>
      <c r="G1336" s="1">
        <v>9</v>
      </c>
      <c r="H1336" s="1" t="s">
        <v>2623</v>
      </c>
      <c r="I1336" s="1" t="s">
        <v>110</v>
      </c>
      <c r="J1336" s="1" t="s">
        <v>16</v>
      </c>
      <c r="K1336" s="1" t="s">
        <v>2611</v>
      </c>
      <c r="L1336" s="1" t="s">
        <v>2506</v>
      </c>
      <c r="M1336">
        <f t="shared" si="140"/>
        <v>350</v>
      </c>
      <c r="N1336" t="str">
        <f t="shared" si="141"/>
        <v>1941-08-29</v>
      </c>
      <c r="O1336">
        <f t="shared" si="142"/>
        <v>71</v>
      </c>
      <c r="P1336" t="str">
        <f t="shared" si="143"/>
        <v>kobieta</v>
      </c>
      <c r="Q1336">
        <f t="shared" si="144"/>
        <v>261</v>
      </c>
      <c r="R1336">
        <f t="shared" si="145"/>
        <v>48</v>
      </c>
      <c r="S1336">
        <f t="shared" ca="1" si="146"/>
        <v>2</v>
      </c>
    </row>
    <row r="1337" spans="1:19">
      <c r="A1337" s="1" t="s">
        <v>24</v>
      </c>
      <c r="B1337" s="2">
        <v>500</v>
      </c>
      <c r="C1337" s="1">
        <v>0</v>
      </c>
      <c r="D1337" s="1" t="s">
        <v>2624</v>
      </c>
      <c r="E1337" s="1">
        <v>13</v>
      </c>
      <c r="F1337" s="3">
        <v>1372</v>
      </c>
      <c r="G1337" s="1">
        <v>0</v>
      </c>
      <c r="H1337" s="1" t="s">
        <v>2625</v>
      </c>
      <c r="I1337" s="1" t="s">
        <v>356</v>
      </c>
      <c r="J1337" s="1" t="s">
        <v>16</v>
      </c>
      <c r="K1337" s="1" t="s">
        <v>16</v>
      </c>
      <c r="L1337" s="1" t="s">
        <v>28</v>
      </c>
      <c r="M1337">
        <f t="shared" si="140"/>
        <v>500</v>
      </c>
      <c r="N1337" t="str">
        <f t="shared" si="141"/>
        <v>1937-07-23</v>
      </c>
      <c r="O1337">
        <f t="shared" si="142"/>
        <v>75</v>
      </c>
      <c r="P1337" t="str">
        <f t="shared" si="143"/>
        <v>kobieta</v>
      </c>
      <c r="Q1337">
        <f t="shared" si="144"/>
        <v>145</v>
      </c>
      <c r="R1337">
        <f t="shared" si="145"/>
        <v>48</v>
      </c>
      <c r="S1337">
        <f t="shared" ca="1" si="146"/>
        <v>0</v>
      </c>
    </row>
    <row r="1338" spans="1:19">
      <c r="A1338" s="1" t="s">
        <v>12</v>
      </c>
      <c r="B1338" s="2">
        <v>500</v>
      </c>
      <c r="C1338" s="1">
        <v>400</v>
      </c>
      <c r="D1338" s="1" t="s">
        <v>1015</v>
      </c>
      <c r="E1338" s="1">
        <v>11</v>
      </c>
      <c r="F1338" s="3">
        <v>2200</v>
      </c>
      <c r="G1338" s="1">
        <v>0</v>
      </c>
      <c r="H1338" s="1" t="s">
        <v>2626</v>
      </c>
      <c r="I1338" s="1" t="s">
        <v>644</v>
      </c>
      <c r="J1338" s="1" t="s">
        <v>16</v>
      </c>
      <c r="K1338" s="1" t="s">
        <v>2611</v>
      </c>
      <c r="L1338" s="1" t="s">
        <v>2330</v>
      </c>
      <c r="M1338">
        <f t="shared" si="140"/>
        <v>400</v>
      </c>
      <c r="N1338" t="str">
        <f t="shared" si="141"/>
        <v>1978-11-28</v>
      </c>
      <c r="O1338">
        <f t="shared" si="142"/>
        <v>34</v>
      </c>
      <c r="P1338" t="str">
        <f t="shared" si="143"/>
        <v>kobieta</v>
      </c>
      <c r="Q1338">
        <f t="shared" si="144"/>
        <v>15</v>
      </c>
      <c r="R1338">
        <f t="shared" si="145"/>
        <v>48</v>
      </c>
      <c r="S1338">
        <f t="shared" ca="1" si="146"/>
        <v>0</v>
      </c>
    </row>
    <row r="1339" spans="1:19">
      <c r="A1339" s="1" t="s">
        <v>19</v>
      </c>
      <c r="B1339" s="2">
        <v>300</v>
      </c>
      <c r="C1339" s="1">
        <v>300</v>
      </c>
      <c r="D1339" s="1" t="s">
        <v>1707</v>
      </c>
      <c r="E1339" s="1">
        <v>13</v>
      </c>
      <c r="F1339" s="3">
        <v>1412</v>
      </c>
      <c r="G1339" s="1">
        <v>2</v>
      </c>
      <c r="H1339" s="1" t="s">
        <v>2627</v>
      </c>
      <c r="I1339" s="1" t="s">
        <v>1709</v>
      </c>
      <c r="J1339" s="1" t="s">
        <v>16</v>
      </c>
      <c r="K1339" s="1" t="s">
        <v>2611</v>
      </c>
      <c r="L1339" s="1" t="s">
        <v>2563</v>
      </c>
      <c r="M1339">
        <f t="shared" si="140"/>
        <v>300</v>
      </c>
      <c r="N1339" t="str">
        <f t="shared" si="141"/>
        <v>1938-12-22</v>
      </c>
      <c r="O1339">
        <f t="shared" si="142"/>
        <v>74</v>
      </c>
      <c r="P1339" t="str">
        <f t="shared" si="143"/>
        <v>kobieta</v>
      </c>
      <c r="Q1339">
        <f t="shared" si="144"/>
        <v>208</v>
      </c>
      <c r="R1339">
        <f t="shared" si="145"/>
        <v>48</v>
      </c>
      <c r="S1339">
        <f t="shared" ca="1" si="146"/>
        <v>0</v>
      </c>
    </row>
    <row r="1340" spans="1:19">
      <c r="A1340" s="1" t="s">
        <v>19</v>
      </c>
      <c r="B1340" s="2">
        <v>500</v>
      </c>
      <c r="C1340" s="1">
        <v>400</v>
      </c>
      <c r="D1340" s="1" t="s">
        <v>2628</v>
      </c>
      <c r="E1340" s="1">
        <v>13</v>
      </c>
      <c r="F1340" s="3">
        <v>1140</v>
      </c>
      <c r="G1340" s="1">
        <v>0</v>
      </c>
      <c r="H1340" s="1" t="s">
        <v>2629</v>
      </c>
      <c r="I1340" s="1" t="s">
        <v>2630</v>
      </c>
      <c r="J1340" s="1" t="s">
        <v>16</v>
      </c>
      <c r="K1340" s="1" t="s">
        <v>2611</v>
      </c>
      <c r="L1340" s="1" t="s">
        <v>2330</v>
      </c>
      <c r="M1340">
        <f t="shared" si="140"/>
        <v>400</v>
      </c>
      <c r="N1340" t="str">
        <f t="shared" si="141"/>
        <v>1938-12-01</v>
      </c>
      <c r="O1340">
        <f t="shared" si="142"/>
        <v>74</v>
      </c>
      <c r="P1340" t="str">
        <f t="shared" si="143"/>
        <v>kobieta</v>
      </c>
      <c r="Q1340">
        <f t="shared" si="144"/>
        <v>241</v>
      </c>
      <c r="R1340">
        <f t="shared" si="145"/>
        <v>48</v>
      </c>
      <c r="S1340">
        <f t="shared" ca="1" si="146"/>
        <v>0</v>
      </c>
    </row>
    <row r="1341" spans="1:19">
      <c r="A1341" s="1" t="s">
        <v>19</v>
      </c>
      <c r="B1341" s="2">
        <v>200</v>
      </c>
      <c r="C1341" s="1">
        <v>200</v>
      </c>
      <c r="D1341" s="1" t="s">
        <v>635</v>
      </c>
      <c r="E1341" s="1">
        <v>12</v>
      </c>
      <c r="F1341" s="3">
        <v>1865</v>
      </c>
      <c r="G1341" s="1">
        <v>5</v>
      </c>
      <c r="H1341" s="1" t="s">
        <v>2631</v>
      </c>
      <c r="I1341" s="1" t="s">
        <v>637</v>
      </c>
      <c r="J1341" s="1" t="s">
        <v>2023</v>
      </c>
      <c r="K1341" s="1" t="s">
        <v>2611</v>
      </c>
      <c r="L1341" s="1" t="s">
        <v>2563</v>
      </c>
      <c r="M1341">
        <f t="shared" si="140"/>
        <v>200</v>
      </c>
      <c r="N1341" t="str">
        <f t="shared" si="141"/>
        <v>1980-02-07</v>
      </c>
      <c r="O1341">
        <f t="shared" si="142"/>
        <v>32</v>
      </c>
      <c r="P1341" t="str">
        <f t="shared" si="143"/>
        <v>kobieta</v>
      </c>
      <c r="Q1341">
        <f t="shared" si="144"/>
        <v>24</v>
      </c>
      <c r="R1341">
        <f t="shared" si="145"/>
        <v>10</v>
      </c>
      <c r="S1341">
        <f t="shared" ca="1" si="146"/>
        <v>0</v>
      </c>
    </row>
    <row r="1342" spans="1:19">
      <c r="A1342" s="1" t="s">
        <v>12</v>
      </c>
      <c r="B1342" s="2">
        <v>500</v>
      </c>
      <c r="C1342" s="1">
        <v>400</v>
      </c>
      <c r="D1342" s="1" t="s">
        <v>1767</v>
      </c>
      <c r="E1342" s="1">
        <v>11</v>
      </c>
      <c r="F1342" s="3">
        <v>2300</v>
      </c>
      <c r="G1342" s="1">
        <v>0</v>
      </c>
      <c r="H1342" s="1" t="s">
        <v>2632</v>
      </c>
      <c r="I1342" s="1" t="s">
        <v>1085</v>
      </c>
      <c r="J1342" s="1" t="s">
        <v>16</v>
      </c>
      <c r="K1342" s="1" t="s">
        <v>2611</v>
      </c>
      <c r="L1342" s="1" t="s">
        <v>1381</v>
      </c>
      <c r="M1342">
        <f t="shared" si="140"/>
        <v>400</v>
      </c>
      <c r="N1342" t="str">
        <f t="shared" si="141"/>
        <v>1985-07-15</v>
      </c>
      <c r="O1342">
        <f t="shared" si="142"/>
        <v>27</v>
      </c>
      <c r="P1342" t="str">
        <f t="shared" si="143"/>
        <v>kobieta</v>
      </c>
      <c r="Q1342">
        <f t="shared" si="144"/>
        <v>26</v>
      </c>
      <c r="R1342">
        <f t="shared" si="145"/>
        <v>48</v>
      </c>
      <c r="S1342">
        <f t="shared" ca="1" si="146"/>
        <v>0</v>
      </c>
    </row>
    <row r="1343" spans="1:19">
      <c r="A1343" s="1" t="s">
        <v>19</v>
      </c>
      <c r="B1343" s="2">
        <v>600</v>
      </c>
      <c r="C1343" s="1">
        <v>600</v>
      </c>
      <c r="D1343" s="1" t="s">
        <v>615</v>
      </c>
      <c r="E1343" s="1">
        <v>11</v>
      </c>
      <c r="F1343" s="3">
        <v>2400</v>
      </c>
      <c r="G1343" s="1">
        <v>7</v>
      </c>
      <c r="H1343" s="1" t="s">
        <v>2633</v>
      </c>
      <c r="I1343" s="1" t="s">
        <v>617</v>
      </c>
      <c r="J1343" s="1" t="s">
        <v>16</v>
      </c>
      <c r="K1343" s="1" t="s">
        <v>2611</v>
      </c>
      <c r="L1343" s="1" t="s">
        <v>2476</v>
      </c>
      <c r="M1343">
        <f t="shared" si="140"/>
        <v>600</v>
      </c>
      <c r="N1343" t="str">
        <f t="shared" si="141"/>
        <v>1976-01-11</v>
      </c>
      <c r="O1343">
        <f t="shared" si="142"/>
        <v>36</v>
      </c>
      <c r="P1343" t="str">
        <f t="shared" si="143"/>
        <v>kobieta</v>
      </c>
      <c r="Q1343">
        <f t="shared" si="144"/>
        <v>117</v>
      </c>
      <c r="R1343">
        <f t="shared" si="145"/>
        <v>48</v>
      </c>
      <c r="S1343">
        <f t="shared" ca="1" si="146"/>
        <v>10</v>
      </c>
    </row>
    <row r="1344" spans="1:19">
      <c r="A1344" s="1" t="s">
        <v>12</v>
      </c>
      <c r="B1344" s="2">
        <v>759.23</v>
      </c>
      <c r="C1344" s="1">
        <v>759.23</v>
      </c>
      <c r="D1344" s="1" t="s">
        <v>1684</v>
      </c>
      <c r="E1344" s="1">
        <v>13</v>
      </c>
      <c r="F1344" s="3">
        <v>2534</v>
      </c>
      <c r="G1344" s="1">
        <v>2</v>
      </c>
      <c r="H1344" s="1" t="s">
        <v>2634</v>
      </c>
      <c r="I1344" s="1" t="s">
        <v>1686</v>
      </c>
      <c r="J1344" s="1" t="s">
        <v>16</v>
      </c>
      <c r="K1344" s="1" t="s">
        <v>2611</v>
      </c>
      <c r="L1344" s="1" t="s">
        <v>2476</v>
      </c>
      <c r="M1344">
        <f t="shared" si="140"/>
        <v>759.23</v>
      </c>
      <c r="N1344" t="str">
        <f t="shared" si="141"/>
        <v>1939-11-15</v>
      </c>
      <c r="O1344">
        <f t="shared" si="142"/>
        <v>73</v>
      </c>
      <c r="P1344" t="str">
        <f t="shared" si="143"/>
        <v>kobieta</v>
      </c>
      <c r="Q1344">
        <f t="shared" si="144"/>
        <v>131</v>
      </c>
      <c r="R1344">
        <f t="shared" si="145"/>
        <v>48</v>
      </c>
      <c r="S1344">
        <f t="shared" ca="1" si="146"/>
        <v>10</v>
      </c>
    </row>
    <row r="1345" spans="1:19">
      <c r="A1345" s="1" t="s">
        <v>19</v>
      </c>
      <c r="B1345" s="2">
        <v>700</v>
      </c>
      <c r="C1345" s="1">
        <v>700</v>
      </c>
      <c r="D1345" s="1" t="s">
        <v>762</v>
      </c>
      <c r="E1345" s="1">
        <v>13</v>
      </c>
      <c r="F1345" s="3">
        <v>2066</v>
      </c>
      <c r="G1345" s="1">
        <v>8</v>
      </c>
      <c r="H1345" s="1" t="s">
        <v>2635</v>
      </c>
      <c r="I1345" s="1" t="s">
        <v>764</v>
      </c>
      <c r="J1345" s="1" t="s">
        <v>16</v>
      </c>
      <c r="K1345" s="1" t="s">
        <v>2636</v>
      </c>
      <c r="L1345" s="1" t="s">
        <v>2637</v>
      </c>
      <c r="M1345">
        <f t="shared" si="140"/>
        <v>700</v>
      </c>
      <c r="N1345" t="str">
        <f t="shared" si="141"/>
        <v>1950-03-18</v>
      </c>
      <c r="O1345">
        <f t="shared" si="142"/>
        <v>62</v>
      </c>
      <c r="P1345" t="str">
        <f t="shared" si="143"/>
        <v>kobieta</v>
      </c>
      <c r="Q1345">
        <f t="shared" si="144"/>
        <v>133</v>
      </c>
      <c r="R1345">
        <f t="shared" si="145"/>
        <v>48</v>
      </c>
      <c r="S1345">
        <f t="shared" ca="1" si="146"/>
        <v>2</v>
      </c>
    </row>
    <row r="1346" spans="1:19">
      <c r="A1346" s="1" t="s">
        <v>12</v>
      </c>
      <c r="B1346" s="2">
        <v>300</v>
      </c>
      <c r="C1346" s="1">
        <v>300</v>
      </c>
      <c r="D1346" s="1" t="s">
        <v>862</v>
      </c>
      <c r="E1346" s="1">
        <v>13</v>
      </c>
      <c r="F1346" s="3">
        <v>1420</v>
      </c>
      <c r="G1346" s="1">
        <v>2</v>
      </c>
      <c r="H1346" s="1" t="s">
        <v>2638</v>
      </c>
      <c r="I1346" s="1" t="s">
        <v>864</v>
      </c>
      <c r="J1346" s="1" t="s">
        <v>16</v>
      </c>
      <c r="K1346" s="1" t="s">
        <v>2636</v>
      </c>
      <c r="L1346" s="1" t="s">
        <v>2606</v>
      </c>
      <c r="M1346">
        <f t="shared" si="140"/>
        <v>300</v>
      </c>
      <c r="N1346" t="str">
        <f t="shared" si="141"/>
        <v>1941-01-07</v>
      </c>
      <c r="O1346">
        <f t="shared" si="142"/>
        <v>71</v>
      </c>
      <c r="P1346" t="str">
        <f t="shared" si="143"/>
        <v>mężczyzna</v>
      </c>
      <c r="Q1346">
        <f t="shared" si="144"/>
        <v>57</v>
      </c>
      <c r="R1346">
        <f t="shared" si="145"/>
        <v>48</v>
      </c>
      <c r="S1346">
        <f t="shared" ca="1" si="146"/>
        <v>3</v>
      </c>
    </row>
    <row r="1347" spans="1:19">
      <c r="A1347" s="1" t="s">
        <v>24</v>
      </c>
      <c r="B1347" s="2">
        <v>400</v>
      </c>
      <c r="C1347" s="1">
        <v>0</v>
      </c>
      <c r="D1347" s="1" t="s">
        <v>2639</v>
      </c>
      <c r="E1347" s="1">
        <v>11</v>
      </c>
      <c r="F1347" s="3">
        <v>1300</v>
      </c>
      <c r="G1347" s="1">
        <v>0</v>
      </c>
      <c r="H1347" s="1" t="s">
        <v>2640</v>
      </c>
      <c r="I1347" s="1" t="s">
        <v>916</v>
      </c>
      <c r="J1347" s="1" t="s">
        <v>16</v>
      </c>
      <c r="K1347" s="1" t="s">
        <v>16</v>
      </c>
      <c r="L1347" s="1" t="s">
        <v>28</v>
      </c>
      <c r="M1347">
        <f t="shared" ref="M1347:M1410" si="147">IF(A1347="odmowa", B1347,C1347)</f>
        <v>400</v>
      </c>
      <c r="N1347" t="str">
        <f t="shared" ref="N1347:N1410" si="148">CONCATENATE("19", MID(D1347, 1, 2), "-", MID(D1347, 3, 2), "-", MID(D1347, 5, 2))</f>
        <v>1960-08-02</v>
      </c>
      <c r="O1347">
        <f t="shared" ref="O1347:O1410" si="149">YEAR(H1347) - YEAR(N1347)</f>
        <v>52</v>
      </c>
      <c r="P1347" t="str">
        <f t="shared" ref="P1347:P1410" si="150">IF(MOD(MID(D1347, 10, 1), 2)=0, "kobieta", "mężczyzna")</f>
        <v>kobieta</v>
      </c>
      <c r="Q1347">
        <f t="shared" ref="Q1347:Q1410" si="151">(YEAR(H1347) - YEAR(I1347)) * 12 + MONTH(H1347) - MONTH(I1347)</f>
        <v>61</v>
      </c>
      <c r="R1347">
        <f t="shared" ref="R1347:R1410" si="152">IF(LEFT(J1347, 4)="0000", 48, MIN(48, (YEAR(J1347) - YEAR(H1347)) * 12 + MONTH(J1347) - MONTH(H1347)))</f>
        <v>48</v>
      </c>
      <c r="S1347">
        <f t="shared" ref="S1347:S1410" ca="1" si="153">IF(LEFT(K1347, 4)="0000", 0, IF(LEFT(L1347, 4)="0000", MAX(0, TODAY() - K1347), MAX(0, L1347 - K1347)))</f>
        <v>0</v>
      </c>
    </row>
    <row r="1348" spans="1:19">
      <c r="A1348" s="1" t="s">
        <v>19</v>
      </c>
      <c r="B1348" s="2">
        <v>300</v>
      </c>
      <c r="C1348" s="1">
        <v>300</v>
      </c>
      <c r="D1348" s="1" t="s">
        <v>817</v>
      </c>
      <c r="E1348" s="1">
        <v>13</v>
      </c>
      <c r="F1348" s="3">
        <v>562</v>
      </c>
      <c r="G1348" s="1">
        <v>4</v>
      </c>
      <c r="H1348" s="1" t="s">
        <v>2641</v>
      </c>
      <c r="I1348" s="1" t="s">
        <v>474</v>
      </c>
      <c r="J1348" s="1" t="s">
        <v>16</v>
      </c>
      <c r="K1348" s="1" t="s">
        <v>2636</v>
      </c>
      <c r="L1348" s="1" t="s">
        <v>2637</v>
      </c>
      <c r="M1348">
        <f t="shared" si="147"/>
        <v>300</v>
      </c>
      <c r="N1348" t="str">
        <f t="shared" si="148"/>
        <v>1940-08-21</v>
      </c>
      <c r="O1348">
        <f t="shared" si="149"/>
        <v>72</v>
      </c>
      <c r="P1348" t="str">
        <f t="shared" si="150"/>
        <v>mężczyzna</v>
      </c>
      <c r="Q1348">
        <f t="shared" si="151"/>
        <v>85</v>
      </c>
      <c r="R1348">
        <f t="shared" si="152"/>
        <v>48</v>
      </c>
      <c r="S1348">
        <f t="shared" ca="1" si="153"/>
        <v>2</v>
      </c>
    </row>
    <row r="1349" spans="1:19">
      <c r="A1349" s="1" t="s">
        <v>19</v>
      </c>
      <c r="B1349" s="2">
        <v>315.12</v>
      </c>
      <c r="C1349" s="1">
        <v>315.12</v>
      </c>
      <c r="D1349" s="1" t="s">
        <v>989</v>
      </c>
      <c r="E1349" s="1">
        <v>13</v>
      </c>
      <c r="F1349" s="3">
        <v>960</v>
      </c>
      <c r="G1349" s="1">
        <v>8</v>
      </c>
      <c r="H1349" s="1" t="s">
        <v>2642</v>
      </c>
      <c r="I1349" s="1" t="s">
        <v>991</v>
      </c>
      <c r="J1349" s="1" t="s">
        <v>16</v>
      </c>
      <c r="K1349" s="1" t="s">
        <v>2636</v>
      </c>
      <c r="L1349" s="1" t="s">
        <v>2637</v>
      </c>
      <c r="M1349">
        <f t="shared" si="147"/>
        <v>315.12</v>
      </c>
      <c r="N1349" t="str">
        <f t="shared" si="148"/>
        <v>1938-08-21</v>
      </c>
      <c r="O1349">
        <f t="shared" si="149"/>
        <v>74</v>
      </c>
      <c r="P1349" t="str">
        <f t="shared" si="150"/>
        <v>mężczyzna</v>
      </c>
      <c r="Q1349">
        <f t="shared" si="151"/>
        <v>144</v>
      </c>
      <c r="R1349">
        <f t="shared" si="152"/>
        <v>48</v>
      </c>
      <c r="S1349">
        <f t="shared" ca="1" si="153"/>
        <v>2</v>
      </c>
    </row>
    <row r="1350" spans="1:19">
      <c r="A1350" s="1" t="s">
        <v>19</v>
      </c>
      <c r="B1350" s="2">
        <v>500</v>
      </c>
      <c r="C1350" s="1">
        <v>500</v>
      </c>
      <c r="D1350" s="1" t="s">
        <v>1049</v>
      </c>
      <c r="E1350" s="1">
        <v>11</v>
      </c>
      <c r="F1350" s="3">
        <v>1320</v>
      </c>
      <c r="G1350" s="1">
        <v>8</v>
      </c>
      <c r="H1350" s="1" t="s">
        <v>2643</v>
      </c>
      <c r="I1350" s="1" t="s">
        <v>739</v>
      </c>
      <c r="J1350" s="1" t="s">
        <v>16</v>
      </c>
      <c r="K1350" s="1" t="s">
        <v>2636</v>
      </c>
      <c r="L1350" s="1" t="s">
        <v>2330</v>
      </c>
      <c r="M1350">
        <f t="shared" si="147"/>
        <v>500</v>
      </c>
      <c r="N1350" t="str">
        <f t="shared" si="148"/>
        <v>1958-09-17</v>
      </c>
      <c r="O1350">
        <f t="shared" si="149"/>
        <v>54</v>
      </c>
      <c r="P1350" t="str">
        <f t="shared" si="150"/>
        <v>mężczyzna</v>
      </c>
      <c r="Q1350">
        <f t="shared" si="151"/>
        <v>346</v>
      </c>
      <c r="R1350">
        <f t="shared" si="152"/>
        <v>48</v>
      </c>
      <c r="S1350">
        <f t="shared" ca="1" si="153"/>
        <v>0</v>
      </c>
    </row>
    <row r="1351" spans="1:19">
      <c r="A1351" s="1" t="s">
        <v>19</v>
      </c>
      <c r="B1351" s="2">
        <v>600</v>
      </c>
      <c r="C1351" s="1">
        <v>600</v>
      </c>
      <c r="D1351" s="1" t="s">
        <v>1664</v>
      </c>
      <c r="E1351" s="1">
        <v>13</v>
      </c>
      <c r="F1351" s="3">
        <v>2609</v>
      </c>
      <c r="G1351" s="1">
        <v>0</v>
      </c>
      <c r="H1351" s="1" t="s">
        <v>2644</v>
      </c>
      <c r="I1351" s="1" t="s">
        <v>1666</v>
      </c>
      <c r="J1351" s="1" t="s">
        <v>16</v>
      </c>
      <c r="K1351" s="1" t="s">
        <v>2636</v>
      </c>
      <c r="L1351" s="1" t="s">
        <v>2563</v>
      </c>
      <c r="M1351">
        <f t="shared" si="147"/>
        <v>600</v>
      </c>
      <c r="N1351" t="str">
        <f t="shared" si="148"/>
        <v>1934-01-04</v>
      </c>
      <c r="O1351">
        <f t="shared" si="149"/>
        <v>78</v>
      </c>
      <c r="P1351" t="str">
        <f t="shared" si="150"/>
        <v>mężczyzna</v>
      </c>
      <c r="Q1351">
        <f t="shared" si="151"/>
        <v>195</v>
      </c>
      <c r="R1351">
        <f t="shared" si="152"/>
        <v>48</v>
      </c>
      <c r="S1351">
        <f t="shared" ca="1" si="153"/>
        <v>0</v>
      </c>
    </row>
    <row r="1352" spans="1:19">
      <c r="A1352" s="1" t="s">
        <v>19</v>
      </c>
      <c r="B1352" s="2">
        <v>379.9</v>
      </c>
      <c r="C1352" s="1">
        <v>379.9</v>
      </c>
      <c r="D1352" s="1" t="s">
        <v>1027</v>
      </c>
      <c r="E1352" s="1">
        <v>13</v>
      </c>
      <c r="F1352" s="3">
        <v>930</v>
      </c>
      <c r="G1352" s="1">
        <v>5</v>
      </c>
      <c r="H1352" s="1" t="s">
        <v>2645</v>
      </c>
      <c r="I1352" s="1" t="s">
        <v>1029</v>
      </c>
      <c r="J1352" s="1" t="s">
        <v>16</v>
      </c>
      <c r="K1352" s="1" t="s">
        <v>2636</v>
      </c>
      <c r="L1352" s="1" t="s">
        <v>2506</v>
      </c>
      <c r="M1352">
        <f t="shared" si="147"/>
        <v>379.9</v>
      </c>
      <c r="N1352" t="str">
        <f t="shared" si="148"/>
        <v>1948-02-11</v>
      </c>
      <c r="O1352">
        <f t="shared" si="149"/>
        <v>64</v>
      </c>
      <c r="P1352" t="str">
        <f t="shared" si="150"/>
        <v>kobieta</v>
      </c>
      <c r="Q1352">
        <f t="shared" si="151"/>
        <v>98</v>
      </c>
      <c r="R1352">
        <f t="shared" si="152"/>
        <v>48</v>
      </c>
      <c r="S1352">
        <f t="shared" ca="1" si="153"/>
        <v>0</v>
      </c>
    </row>
    <row r="1353" spans="1:19">
      <c r="A1353" s="1" t="s">
        <v>12</v>
      </c>
      <c r="B1353" s="2">
        <v>750</v>
      </c>
      <c r="C1353" s="1">
        <v>750</v>
      </c>
      <c r="D1353" s="1" t="s">
        <v>208</v>
      </c>
      <c r="E1353" s="1">
        <v>16</v>
      </c>
      <c r="F1353" s="3">
        <v>588</v>
      </c>
      <c r="G1353" s="1">
        <v>0</v>
      </c>
      <c r="H1353" s="1" t="s">
        <v>2646</v>
      </c>
      <c r="I1353" s="1" t="s">
        <v>210</v>
      </c>
      <c r="J1353" s="1" t="s">
        <v>16</v>
      </c>
      <c r="K1353" s="1" t="s">
        <v>2636</v>
      </c>
      <c r="L1353" s="1" t="s">
        <v>2647</v>
      </c>
      <c r="M1353">
        <f t="shared" si="147"/>
        <v>750</v>
      </c>
      <c r="N1353" t="str">
        <f t="shared" si="148"/>
        <v>1956-03-30</v>
      </c>
      <c r="O1353">
        <f t="shared" si="149"/>
        <v>56</v>
      </c>
      <c r="P1353" t="str">
        <f t="shared" si="150"/>
        <v>mężczyzna</v>
      </c>
      <c r="Q1353">
        <f t="shared" si="151"/>
        <v>426</v>
      </c>
      <c r="R1353">
        <f t="shared" si="152"/>
        <v>48</v>
      </c>
      <c r="S1353">
        <f t="shared" ca="1" si="153"/>
        <v>58</v>
      </c>
    </row>
    <row r="1354" spans="1:19">
      <c r="A1354" s="1" t="s">
        <v>19</v>
      </c>
      <c r="B1354" s="2">
        <v>265.58</v>
      </c>
      <c r="C1354" s="1">
        <v>265.58</v>
      </c>
      <c r="D1354" s="1" t="s">
        <v>1086</v>
      </c>
      <c r="E1354" s="1">
        <v>13</v>
      </c>
      <c r="F1354" s="3">
        <v>1189</v>
      </c>
      <c r="G1354" s="1">
        <v>8</v>
      </c>
      <c r="H1354" s="1" t="s">
        <v>2648</v>
      </c>
      <c r="I1354" s="1" t="s">
        <v>303</v>
      </c>
      <c r="J1354" s="1" t="s">
        <v>16</v>
      </c>
      <c r="K1354" s="1" t="s">
        <v>2636</v>
      </c>
      <c r="L1354" s="1" t="s">
        <v>2330</v>
      </c>
      <c r="M1354">
        <f t="shared" si="147"/>
        <v>265.58</v>
      </c>
      <c r="N1354" t="str">
        <f t="shared" si="148"/>
        <v>1949-12-01</v>
      </c>
      <c r="O1354">
        <f t="shared" si="149"/>
        <v>63</v>
      </c>
      <c r="P1354" t="str">
        <f t="shared" si="150"/>
        <v>kobieta</v>
      </c>
      <c r="Q1354">
        <f t="shared" si="151"/>
        <v>74</v>
      </c>
      <c r="R1354">
        <f t="shared" si="152"/>
        <v>48</v>
      </c>
      <c r="S1354">
        <f t="shared" ca="1" si="153"/>
        <v>0</v>
      </c>
    </row>
    <row r="1355" spans="1:19">
      <c r="A1355" s="1" t="s">
        <v>19</v>
      </c>
      <c r="B1355" s="2">
        <v>200</v>
      </c>
      <c r="C1355" s="1">
        <v>200</v>
      </c>
      <c r="D1355" s="1" t="s">
        <v>1073</v>
      </c>
      <c r="E1355" s="1">
        <v>11</v>
      </c>
      <c r="F1355" s="3">
        <v>1800</v>
      </c>
      <c r="G1355" s="1">
        <v>8</v>
      </c>
      <c r="H1355" s="1" t="s">
        <v>2649</v>
      </c>
      <c r="I1355" s="1" t="s">
        <v>706</v>
      </c>
      <c r="J1355" s="1" t="s">
        <v>16</v>
      </c>
      <c r="K1355" s="1" t="s">
        <v>2636</v>
      </c>
      <c r="L1355" s="1" t="s">
        <v>2506</v>
      </c>
      <c r="M1355">
        <f t="shared" si="147"/>
        <v>200</v>
      </c>
      <c r="N1355" t="str">
        <f t="shared" si="148"/>
        <v>1978-06-03</v>
      </c>
      <c r="O1355">
        <f t="shared" si="149"/>
        <v>34</v>
      </c>
      <c r="P1355" t="str">
        <f t="shared" si="150"/>
        <v>mężczyzna</v>
      </c>
      <c r="Q1355">
        <f t="shared" si="151"/>
        <v>169</v>
      </c>
      <c r="R1355">
        <f t="shared" si="152"/>
        <v>48</v>
      </c>
      <c r="S1355">
        <f t="shared" ca="1" si="153"/>
        <v>0</v>
      </c>
    </row>
    <row r="1356" spans="1:19">
      <c r="A1356" s="1" t="s">
        <v>56</v>
      </c>
      <c r="B1356" s="2">
        <v>700</v>
      </c>
      <c r="C1356" s="1">
        <v>300</v>
      </c>
      <c r="D1356" s="1" t="s">
        <v>2650</v>
      </c>
      <c r="E1356" s="1">
        <v>98</v>
      </c>
      <c r="F1356" s="3">
        <v>1200</v>
      </c>
      <c r="G1356" s="1">
        <v>0</v>
      </c>
      <c r="H1356" s="1" t="s">
        <v>2651</v>
      </c>
      <c r="I1356" s="1" t="s">
        <v>2652</v>
      </c>
      <c r="J1356" s="1" t="s">
        <v>16</v>
      </c>
      <c r="K1356" s="1" t="s">
        <v>2636</v>
      </c>
      <c r="L1356" s="1" t="s">
        <v>28</v>
      </c>
      <c r="M1356">
        <f t="shared" si="147"/>
        <v>300</v>
      </c>
      <c r="N1356" t="str">
        <f t="shared" si="148"/>
        <v>1974-02-09</v>
      </c>
      <c r="O1356">
        <f t="shared" si="149"/>
        <v>38</v>
      </c>
      <c r="P1356" t="str">
        <f t="shared" si="150"/>
        <v>mężczyzna</v>
      </c>
      <c r="Q1356">
        <f t="shared" si="151"/>
        <v>4</v>
      </c>
      <c r="R1356">
        <f t="shared" si="152"/>
        <v>48</v>
      </c>
      <c r="S1356">
        <f t="shared" ca="1" si="153"/>
        <v>5153</v>
      </c>
    </row>
    <row r="1357" spans="1:19">
      <c r="A1357" s="1" t="s">
        <v>19</v>
      </c>
      <c r="B1357" s="2">
        <v>1000</v>
      </c>
      <c r="C1357" s="1">
        <v>500</v>
      </c>
      <c r="D1357" s="1" t="s">
        <v>2653</v>
      </c>
      <c r="E1357" s="1">
        <v>11</v>
      </c>
      <c r="F1357" s="3">
        <v>2824</v>
      </c>
      <c r="G1357" s="1">
        <v>0</v>
      </c>
      <c r="H1357" s="1" t="s">
        <v>2654</v>
      </c>
      <c r="I1357" s="1" t="s">
        <v>538</v>
      </c>
      <c r="J1357" s="1" t="s">
        <v>16</v>
      </c>
      <c r="K1357" s="1" t="s">
        <v>2636</v>
      </c>
      <c r="L1357" s="1" t="s">
        <v>2570</v>
      </c>
      <c r="M1357">
        <f t="shared" si="147"/>
        <v>500</v>
      </c>
      <c r="N1357" t="str">
        <f t="shared" si="148"/>
        <v>1970-04-02</v>
      </c>
      <c r="O1357">
        <f t="shared" si="149"/>
        <v>42</v>
      </c>
      <c r="P1357" t="str">
        <f t="shared" si="150"/>
        <v>kobieta</v>
      </c>
      <c r="Q1357">
        <f t="shared" si="151"/>
        <v>105</v>
      </c>
      <c r="R1357">
        <f t="shared" si="152"/>
        <v>48</v>
      </c>
      <c r="S1357">
        <f t="shared" ca="1" si="153"/>
        <v>1</v>
      </c>
    </row>
    <row r="1358" spans="1:19">
      <c r="A1358" s="1" t="s">
        <v>19</v>
      </c>
      <c r="B1358" s="2">
        <v>996</v>
      </c>
      <c r="C1358" s="1">
        <v>996</v>
      </c>
      <c r="D1358" s="1" t="s">
        <v>903</v>
      </c>
      <c r="E1358" s="1">
        <v>11</v>
      </c>
      <c r="F1358" s="3">
        <v>2500</v>
      </c>
      <c r="G1358" s="1">
        <v>4</v>
      </c>
      <c r="H1358" s="1" t="s">
        <v>2655</v>
      </c>
      <c r="I1358" s="1" t="s">
        <v>905</v>
      </c>
      <c r="J1358" s="1" t="s">
        <v>16</v>
      </c>
      <c r="K1358" s="1" t="s">
        <v>2636</v>
      </c>
      <c r="L1358" s="1" t="s">
        <v>2637</v>
      </c>
      <c r="M1358">
        <f t="shared" si="147"/>
        <v>996</v>
      </c>
      <c r="N1358" t="str">
        <f t="shared" si="148"/>
        <v>1964-01-25</v>
      </c>
      <c r="O1358">
        <f t="shared" si="149"/>
        <v>48</v>
      </c>
      <c r="P1358" t="str">
        <f t="shared" si="150"/>
        <v>mężczyzna</v>
      </c>
      <c r="Q1358">
        <f t="shared" si="151"/>
        <v>208</v>
      </c>
      <c r="R1358">
        <f t="shared" si="152"/>
        <v>48</v>
      </c>
      <c r="S1358">
        <f t="shared" ca="1" si="153"/>
        <v>2</v>
      </c>
    </row>
    <row r="1359" spans="1:19">
      <c r="A1359" s="1" t="s">
        <v>19</v>
      </c>
      <c r="B1359" s="2">
        <v>597.15</v>
      </c>
      <c r="C1359" s="1">
        <v>597.15</v>
      </c>
      <c r="D1359" s="1" t="s">
        <v>1045</v>
      </c>
      <c r="E1359" s="1">
        <v>12</v>
      </c>
      <c r="F1359" s="3">
        <v>600</v>
      </c>
      <c r="G1359" s="1">
        <v>9</v>
      </c>
      <c r="H1359" s="1" t="s">
        <v>2656</v>
      </c>
      <c r="I1359" s="1" t="s">
        <v>1047</v>
      </c>
      <c r="J1359" s="1" t="s">
        <v>1048</v>
      </c>
      <c r="K1359" s="1" t="s">
        <v>2636</v>
      </c>
      <c r="L1359" s="1" t="s">
        <v>2330</v>
      </c>
      <c r="M1359">
        <f t="shared" si="147"/>
        <v>597.15</v>
      </c>
      <c r="N1359" t="str">
        <f t="shared" si="148"/>
        <v>1964-03-31</v>
      </c>
      <c r="O1359">
        <f t="shared" si="149"/>
        <v>48</v>
      </c>
      <c r="P1359" t="str">
        <f t="shared" si="150"/>
        <v>mężczyzna</v>
      </c>
      <c r="Q1359">
        <f t="shared" si="151"/>
        <v>13</v>
      </c>
      <c r="R1359">
        <f t="shared" si="152"/>
        <v>14</v>
      </c>
      <c r="S1359">
        <f t="shared" ca="1" si="153"/>
        <v>0</v>
      </c>
    </row>
    <row r="1360" spans="1:19">
      <c r="A1360" s="1" t="s">
        <v>12</v>
      </c>
      <c r="B1360" s="2">
        <v>1000</v>
      </c>
      <c r="C1360" s="1">
        <v>500</v>
      </c>
      <c r="D1360" s="1" t="s">
        <v>2657</v>
      </c>
      <c r="E1360" s="1">
        <v>12</v>
      </c>
      <c r="F1360" s="3">
        <v>2100</v>
      </c>
      <c r="G1360" s="1">
        <v>0</v>
      </c>
      <c r="H1360" s="1" t="s">
        <v>2658</v>
      </c>
      <c r="I1360" s="1" t="s">
        <v>861</v>
      </c>
      <c r="J1360" s="1" t="s">
        <v>2659</v>
      </c>
      <c r="K1360" s="1" t="s">
        <v>2636</v>
      </c>
      <c r="L1360" s="1" t="s">
        <v>2660</v>
      </c>
      <c r="M1360">
        <f t="shared" si="147"/>
        <v>500</v>
      </c>
      <c r="N1360" t="str">
        <f t="shared" si="148"/>
        <v>1989-08-08</v>
      </c>
      <c r="O1360">
        <f t="shared" si="149"/>
        <v>23</v>
      </c>
      <c r="P1360" t="str">
        <f t="shared" si="150"/>
        <v>mężczyzna</v>
      </c>
      <c r="Q1360">
        <f t="shared" si="151"/>
        <v>2</v>
      </c>
      <c r="R1360">
        <f t="shared" si="152"/>
        <v>16</v>
      </c>
      <c r="S1360">
        <f t="shared" ca="1" si="153"/>
        <v>189</v>
      </c>
    </row>
    <row r="1361" spans="1:19">
      <c r="A1361" s="1" t="s">
        <v>24</v>
      </c>
      <c r="B1361" s="2">
        <v>500</v>
      </c>
      <c r="C1361" s="1">
        <v>0</v>
      </c>
      <c r="D1361" s="1" t="s">
        <v>2661</v>
      </c>
      <c r="E1361" s="1">
        <v>12</v>
      </c>
      <c r="F1361" s="3">
        <v>1651.78</v>
      </c>
      <c r="G1361" s="1">
        <v>0</v>
      </c>
      <c r="H1361" s="1" t="s">
        <v>2662</v>
      </c>
      <c r="I1361" s="1" t="s">
        <v>2663</v>
      </c>
      <c r="J1361" s="1" t="s">
        <v>2664</v>
      </c>
      <c r="K1361" s="1" t="s">
        <v>16</v>
      </c>
      <c r="L1361" s="1" t="s">
        <v>28</v>
      </c>
      <c r="M1361">
        <f t="shared" si="147"/>
        <v>500</v>
      </c>
      <c r="N1361" t="str">
        <f t="shared" si="148"/>
        <v>1980-09-16</v>
      </c>
      <c r="O1361">
        <f t="shared" si="149"/>
        <v>32</v>
      </c>
      <c r="P1361" t="str">
        <f t="shared" si="150"/>
        <v>mężczyzna</v>
      </c>
      <c r="Q1361">
        <f t="shared" si="151"/>
        <v>8</v>
      </c>
      <c r="R1361">
        <f t="shared" si="152"/>
        <v>16</v>
      </c>
      <c r="S1361">
        <f t="shared" ca="1" si="153"/>
        <v>0</v>
      </c>
    </row>
    <row r="1362" spans="1:19">
      <c r="A1362" s="1" t="s">
        <v>19</v>
      </c>
      <c r="B1362" s="2">
        <v>400</v>
      </c>
      <c r="C1362" s="1">
        <v>300</v>
      </c>
      <c r="D1362" s="1" t="s">
        <v>2665</v>
      </c>
      <c r="E1362" s="1">
        <v>12</v>
      </c>
      <c r="F1362" s="3">
        <v>1300</v>
      </c>
      <c r="G1362" s="1">
        <v>0</v>
      </c>
      <c r="H1362" s="1" t="s">
        <v>2666</v>
      </c>
      <c r="I1362" s="1" t="s">
        <v>558</v>
      </c>
      <c r="J1362" s="1" t="s">
        <v>2265</v>
      </c>
      <c r="K1362" s="1" t="s">
        <v>2636</v>
      </c>
      <c r="L1362" s="1" t="s">
        <v>2330</v>
      </c>
      <c r="M1362">
        <f t="shared" si="147"/>
        <v>300</v>
      </c>
      <c r="N1362" t="str">
        <f t="shared" si="148"/>
        <v>1976-10-05</v>
      </c>
      <c r="O1362">
        <f t="shared" si="149"/>
        <v>36</v>
      </c>
      <c r="P1362" t="str">
        <f t="shared" si="150"/>
        <v>kobieta</v>
      </c>
      <c r="Q1362">
        <f t="shared" si="151"/>
        <v>3</v>
      </c>
      <c r="R1362">
        <f t="shared" si="152"/>
        <v>4</v>
      </c>
      <c r="S1362">
        <f t="shared" ca="1" si="153"/>
        <v>0</v>
      </c>
    </row>
    <row r="1363" spans="1:19">
      <c r="A1363" s="1" t="s">
        <v>19</v>
      </c>
      <c r="B1363" s="2">
        <v>300</v>
      </c>
      <c r="C1363" s="1">
        <v>300</v>
      </c>
      <c r="D1363" s="1" t="s">
        <v>908</v>
      </c>
      <c r="E1363" s="1">
        <v>16</v>
      </c>
      <c r="F1363" s="3">
        <v>1500</v>
      </c>
      <c r="G1363" s="1">
        <v>3</v>
      </c>
      <c r="H1363" s="1" t="s">
        <v>2667</v>
      </c>
      <c r="I1363" s="1" t="s">
        <v>910</v>
      </c>
      <c r="J1363" s="1" t="s">
        <v>16</v>
      </c>
      <c r="K1363" s="1" t="s">
        <v>2636</v>
      </c>
      <c r="L1363" s="1" t="s">
        <v>2637</v>
      </c>
      <c r="M1363">
        <f t="shared" si="147"/>
        <v>300</v>
      </c>
      <c r="N1363" t="str">
        <f t="shared" si="148"/>
        <v>1957-12-30</v>
      </c>
      <c r="O1363">
        <f t="shared" si="149"/>
        <v>55</v>
      </c>
      <c r="P1363" t="str">
        <f t="shared" si="150"/>
        <v>kobieta</v>
      </c>
      <c r="Q1363">
        <f t="shared" si="151"/>
        <v>6</v>
      </c>
      <c r="R1363">
        <f t="shared" si="152"/>
        <v>48</v>
      </c>
      <c r="S1363">
        <f t="shared" ca="1" si="153"/>
        <v>2</v>
      </c>
    </row>
    <row r="1364" spans="1:19">
      <c r="A1364" s="1" t="s">
        <v>19</v>
      </c>
      <c r="B1364" s="2">
        <v>400</v>
      </c>
      <c r="C1364" s="1">
        <v>300</v>
      </c>
      <c r="D1364" s="1" t="s">
        <v>2668</v>
      </c>
      <c r="E1364" s="1">
        <v>12</v>
      </c>
      <c r="F1364" s="3">
        <v>1100</v>
      </c>
      <c r="G1364" s="1">
        <v>0</v>
      </c>
      <c r="H1364" s="1" t="s">
        <v>2669</v>
      </c>
      <c r="I1364" s="1" t="s">
        <v>161</v>
      </c>
      <c r="J1364" s="1" t="s">
        <v>2670</v>
      </c>
      <c r="K1364" s="1" t="s">
        <v>2636</v>
      </c>
      <c r="L1364" s="1" t="s">
        <v>2506</v>
      </c>
      <c r="M1364">
        <f t="shared" si="147"/>
        <v>300</v>
      </c>
      <c r="N1364" t="str">
        <f t="shared" si="148"/>
        <v>1985-09-07</v>
      </c>
      <c r="O1364">
        <f t="shared" si="149"/>
        <v>27</v>
      </c>
      <c r="P1364" t="str">
        <f t="shared" si="150"/>
        <v>mężczyzna</v>
      </c>
      <c r="Q1364">
        <f t="shared" si="151"/>
        <v>8</v>
      </c>
      <c r="R1364">
        <f t="shared" si="152"/>
        <v>40</v>
      </c>
      <c r="S1364">
        <f t="shared" ca="1" si="153"/>
        <v>0</v>
      </c>
    </row>
    <row r="1365" spans="1:19">
      <c r="A1365" s="1" t="s">
        <v>19</v>
      </c>
      <c r="B1365" s="2">
        <v>400</v>
      </c>
      <c r="C1365" s="1">
        <v>400</v>
      </c>
      <c r="D1365" s="1" t="s">
        <v>972</v>
      </c>
      <c r="E1365" s="1">
        <v>11</v>
      </c>
      <c r="F1365" s="3">
        <v>1500</v>
      </c>
      <c r="G1365" s="1">
        <v>7</v>
      </c>
      <c r="H1365" s="1" t="s">
        <v>2671</v>
      </c>
      <c r="I1365" s="1" t="s">
        <v>333</v>
      </c>
      <c r="J1365" s="1" t="s">
        <v>16</v>
      </c>
      <c r="K1365" s="1" t="s">
        <v>2636</v>
      </c>
      <c r="L1365" s="1" t="s">
        <v>2637</v>
      </c>
      <c r="M1365">
        <f t="shared" si="147"/>
        <v>400</v>
      </c>
      <c r="N1365" t="str">
        <f t="shared" si="148"/>
        <v>1953-04-19</v>
      </c>
      <c r="O1365">
        <f t="shared" si="149"/>
        <v>59</v>
      </c>
      <c r="P1365" t="str">
        <f t="shared" si="150"/>
        <v>kobieta</v>
      </c>
      <c r="Q1365">
        <f t="shared" si="151"/>
        <v>89</v>
      </c>
      <c r="R1365">
        <f t="shared" si="152"/>
        <v>48</v>
      </c>
      <c r="S1365">
        <f t="shared" ca="1" si="153"/>
        <v>2</v>
      </c>
    </row>
    <row r="1366" spans="1:19">
      <c r="A1366" s="1" t="s">
        <v>19</v>
      </c>
      <c r="B1366" s="2">
        <v>200</v>
      </c>
      <c r="C1366" s="1">
        <v>200</v>
      </c>
      <c r="D1366" s="1" t="s">
        <v>1071</v>
      </c>
      <c r="E1366" s="1">
        <v>16</v>
      </c>
      <c r="F1366" s="3">
        <v>1045.5999999999999</v>
      </c>
      <c r="G1366" s="1">
        <v>9</v>
      </c>
      <c r="H1366" s="1" t="s">
        <v>2672</v>
      </c>
      <c r="I1366" s="1" t="s">
        <v>395</v>
      </c>
      <c r="J1366" s="1" t="s">
        <v>16</v>
      </c>
      <c r="K1366" s="1" t="s">
        <v>2636</v>
      </c>
      <c r="L1366" s="1" t="s">
        <v>2330</v>
      </c>
      <c r="M1366">
        <f t="shared" si="147"/>
        <v>200</v>
      </c>
      <c r="N1366" t="str">
        <f t="shared" si="148"/>
        <v>1957-10-24</v>
      </c>
      <c r="O1366">
        <f t="shared" si="149"/>
        <v>55</v>
      </c>
      <c r="P1366" t="str">
        <f t="shared" si="150"/>
        <v>kobieta</v>
      </c>
      <c r="Q1366">
        <f t="shared" si="151"/>
        <v>16</v>
      </c>
      <c r="R1366">
        <f t="shared" si="152"/>
        <v>48</v>
      </c>
      <c r="S1366">
        <f t="shared" ca="1" si="153"/>
        <v>0</v>
      </c>
    </row>
    <row r="1367" spans="1:19">
      <c r="A1367" s="1" t="s">
        <v>19</v>
      </c>
      <c r="B1367" s="2">
        <v>200</v>
      </c>
      <c r="C1367" s="1">
        <v>200</v>
      </c>
      <c r="D1367" s="1" t="s">
        <v>1024</v>
      </c>
      <c r="E1367" s="1">
        <v>11</v>
      </c>
      <c r="F1367" s="3">
        <v>1460.17</v>
      </c>
      <c r="G1367" s="1">
        <v>5</v>
      </c>
      <c r="H1367" s="1" t="s">
        <v>2673</v>
      </c>
      <c r="I1367" s="1" t="s">
        <v>1026</v>
      </c>
      <c r="J1367" s="1" t="s">
        <v>16</v>
      </c>
      <c r="K1367" s="1" t="s">
        <v>2636</v>
      </c>
      <c r="L1367" s="1" t="s">
        <v>2330</v>
      </c>
      <c r="M1367">
        <f t="shared" si="147"/>
        <v>200</v>
      </c>
      <c r="N1367" t="str">
        <f t="shared" si="148"/>
        <v>1956-12-09</v>
      </c>
      <c r="O1367">
        <f t="shared" si="149"/>
        <v>56</v>
      </c>
      <c r="P1367" t="str">
        <f t="shared" si="150"/>
        <v>mężczyzna</v>
      </c>
      <c r="Q1367">
        <f t="shared" si="151"/>
        <v>65</v>
      </c>
      <c r="R1367">
        <f t="shared" si="152"/>
        <v>48</v>
      </c>
      <c r="S1367">
        <f t="shared" ca="1" si="153"/>
        <v>0</v>
      </c>
    </row>
    <row r="1368" spans="1:19">
      <c r="A1368" s="1" t="s">
        <v>19</v>
      </c>
      <c r="B1368" s="2">
        <v>200</v>
      </c>
      <c r="C1368" s="1">
        <v>200</v>
      </c>
      <c r="D1368" s="1" t="s">
        <v>727</v>
      </c>
      <c r="E1368" s="1">
        <v>12</v>
      </c>
      <c r="F1368" s="3">
        <v>980</v>
      </c>
      <c r="G1368" s="1">
        <v>8</v>
      </c>
      <c r="H1368" s="1" t="s">
        <v>2674</v>
      </c>
      <c r="I1368" s="1" t="s">
        <v>729</v>
      </c>
      <c r="J1368" s="1" t="s">
        <v>730</v>
      </c>
      <c r="K1368" s="1" t="s">
        <v>2636</v>
      </c>
      <c r="L1368" s="1" t="s">
        <v>2570</v>
      </c>
      <c r="M1368">
        <f t="shared" si="147"/>
        <v>200</v>
      </c>
      <c r="N1368" t="str">
        <f t="shared" si="148"/>
        <v>1980-11-12</v>
      </c>
      <c r="O1368">
        <f t="shared" si="149"/>
        <v>32</v>
      </c>
      <c r="P1368" t="str">
        <f t="shared" si="150"/>
        <v>kobieta</v>
      </c>
      <c r="Q1368">
        <f t="shared" si="151"/>
        <v>14</v>
      </c>
      <c r="R1368">
        <f t="shared" si="152"/>
        <v>1</v>
      </c>
      <c r="S1368">
        <f t="shared" ca="1" si="153"/>
        <v>1</v>
      </c>
    </row>
    <row r="1369" spans="1:19">
      <c r="A1369" s="1" t="s">
        <v>19</v>
      </c>
      <c r="B1369" s="2">
        <v>200</v>
      </c>
      <c r="C1369" s="1">
        <v>200</v>
      </c>
      <c r="D1369" s="1" t="s">
        <v>932</v>
      </c>
      <c r="E1369" s="1">
        <v>11</v>
      </c>
      <c r="F1369" s="3">
        <v>2284.23</v>
      </c>
      <c r="G1369" s="1">
        <v>3</v>
      </c>
      <c r="H1369" s="1" t="s">
        <v>2675</v>
      </c>
      <c r="I1369" s="1" t="s">
        <v>934</v>
      </c>
      <c r="J1369" s="1" t="s">
        <v>16</v>
      </c>
      <c r="K1369" s="1" t="s">
        <v>2636</v>
      </c>
      <c r="L1369" s="1" t="s">
        <v>2330</v>
      </c>
      <c r="M1369">
        <f t="shared" si="147"/>
        <v>200</v>
      </c>
      <c r="N1369" t="str">
        <f t="shared" si="148"/>
        <v>1968-10-04</v>
      </c>
      <c r="O1369">
        <f t="shared" si="149"/>
        <v>44</v>
      </c>
      <c r="P1369" t="str">
        <f t="shared" si="150"/>
        <v>mężczyzna</v>
      </c>
      <c r="Q1369">
        <f t="shared" si="151"/>
        <v>304</v>
      </c>
      <c r="R1369">
        <f t="shared" si="152"/>
        <v>48</v>
      </c>
      <c r="S1369">
        <f t="shared" ca="1" si="153"/>
        <v>0</v>
      </c>
    </row>
    <row r="1370" spans="1:19">
      <c r="A1370" s="1" t="s">
        <v>19</v>
      </c>
      <c r="B1370" s="2">
        <v>254.63</v>
      </c>
      <c r="C1370" s="1">
        <v>254.63</v>
      </c>
      <c r="D1370" s="1" t="s">
        <v>562</v>
      </c>
      <c r="E1370" s="1">
        <v>16</v>
      </c>
      <c r="F1370" s="3">
        <v>634.64</v>
      </c>
      <c r="G1370" s="1">
        <v>7</v>
      </c>
      <c r="H1370" s="1" t="s">
        <v>2676</v>
      </c>
      <c r="I1370" s="1" t="s">
        <v>564</v>
      </c>
      <c r="J1370" s="1" t="s">
        <v>16</v>
      </c>
      <c r="K1370" s="1" t="s">
        <v>2636</v>
      </c>
      <c r="L1370" s="1" t="s">
        <v>2506</v>
      </c>
      <c r="M1370">
        <f t="shared" si="147"/>
        <v>254.63</v>
      </c>
      <c r="N1370" t="str">
        <f t="shared" si="148"/>
        <v>1954-06-09</v>
      </c>
      <c r="O1370">
        <f t="shared" si="149"/>
        <v>58</v>
      </c>
      <c r="P1370" t="str">
        <f t="shared" si="150"/>
        <v>kobieta</v>
      </c>
      <c r="Q1370">
        <f t="shared" si="151"/>
        <v>140</v>
      </c>
      <c r="R1370">
        <f t="shared" si="152"/>
        <v>48</v>
      </c>
      <c r="S1370">
        <f t="shared" ca="1" si="153"/>
        <v>0</v>
      </c>
    </row>
    <row r="1371" spans="1:19">
      <c r="A1371" s="1" t="s">
        <v>19</v>
      </c>
      <c r="B1371" s="2">
        <v>200</v>
      </c>
      <c r="C1371" s="1">
        <v>200</v>
      </c>
      <c r="D1371" s="1" t="s">
        <v>20</v>
      </c>
      <c r="E1371" s="1">
        <v>16</v>
      </c>
      <c r="F1371" s="3">
        <v>959.6</v>
      </c>
      <c r="G1371" s="1">
        <v>8</v>
      </c>
      <c r="H1371" s="1" t="s">
        <v>2677</v>
      </c>
      <c r="I1371" s="1" t="s">
        <v>22</v>
      </c>
      <c r="J1371" s="1" t="s">
        <v>16</v>
      </c>
      <c r="K1371" s="1" t="s">
        <v>2636</v>
      </c>
      <c r="L1371" s="1" t="s">
        <v>2506</v>
      </c>
      <c r="M1371">
        <f t="shared" si="147"/>
        <v>200</v>
      </c>
      <c r="N1371" t="str">
        <f t="shared" si="148"/>
        <v>1942-12-03</v>
      </c>
      <c r="O1371">
        <f t="shared" si="149"/>
        <v>70</v>
      </c>
      <c r="P1371" t="str">
        <f t="shared" si="150"/>
        <v>kobieta</v>
      </c>
      <c r="Q1371">
        <f t="shared" si="151"/>
        <v>119</v>
      </c>
      <c r="R1371">
        <f t="shared" si="152"/>
        <v>48</v>
      </c>
      <c r="S1371">
        <f t="shared" ca="1" si="153"/>
        <v>0</v>
      </c>
    </row>
    <row r="1372" spans="1:19">
      <c r="A1372" s="1" t="s">
        <v>19</v>
      </c>
      <c r="B1372" s="2">
        <v>200</v>
      </c>
      <c r="C1372" s="1">
        <v>200</v>
      </c>
      <c r="D1372" s="1" t="s">
        <v>1676</v>
      </c>
      <c r="E1372" s="1">
        <v>11</v>
      </c>
      <c r="F1372" s="3">
        <v>2000</v>
      </c>
      <c r="G1372" s="1">
        <v>2</v>
      </c>
      <c r="H1372" s="1" t="s">
        <v>2678</v>
      </c>
      <c r="I1372" s="1" t="s">
        <v>1678</v>
      </c>
      <c r="J1372" s="1" t="s">
        <v>16</v>
      </c>
      <c r="K1372" s="1" t="s">
        <v>2636</v>
      </c>
      <c r="L1372" s="1" t="s">
        <v>2506</v>
      </c>
      <c r="M1372">
        <f t="shared" si="147"/>
        <v>200</v>
      </c>
      <c r="N1372" t="str">
        <f t="shared" si="148"/>
        <v>1980-12-29</v>
      </c>
      <c r="O1372">
        <f t="shared" si="149"/>
        <v>32</v>
      </c>
      <c r="P1372" t="str">
        <f t="shared" si="150"/>
        <v>mężczyzna</v>
      </c>
      <c r="Q1372">
        <f t="shared" si="151"/>
        <v>9</v>
      </c>
      <c r="R1372">
        <f t="shared" si="152"/>
        <v>48</v>
      </c>
      <c r="S1372">
        <f t="shared" ca="1" si="153"/>
        <v>0</v>
      </c>
    </row>
    <row r="1373" spans="1:19">
      <c r="A1373" s="1" t="s">
        <v>19</v>
      </c>
      <c r="B1373" s="2">
        <v>299.12</v>
      </c>
      <c r="C1373" s="1">
        <v>299.12</v>
      </c>
      <c r="D1373" s="1" t="s">
        <v>240</v>
      </c>
      <c r="E1373" s="1">
        <v>16</v>
      </c>
      <c r="F1373" s="3">
        <v>1389</v>
      </c>
      <c r="G1373" s="1">
        <v>3</v>
      </c>
      <c r="H1373" s="1" t="s">
        <v>2679</v>
      </c>
      <c r="I1373" s="1" t="s">
        <v>242</v>
      </c>
      <c r="J1373" s="1" t="s">
        <v>16</v>
      </c>
      <c r="K1373" s="1" t="s">
        <v>2636</v>
      </c>
      <c r="L1373" s="1" t="s">
        <v>2604</v>
      </c>
      <c r="M1373">
        <f t="shared" si="147"/>
        <v>299.12</v>
      </c>
      <c r="N1373" t="str">
        <f t="shared" si="148"/>
        <v>1948-07-16</v>
      </c>
      <c r="O1373">
        <f t="shared" si="149"/>
        <v>64</v>
      </c>
      <c r="P1373" t="str">
        <f t="shared" si="150"/>
        <v>kobieta</v>
      </c>
      <c r="Q1373">
        <f t="shared" si="151"/>
        <v>95</v>
      </c>
      <c r="R1373">
        <f t="shared" si="152"/>
        <v>48</v>
      </c>
      <c r="S1373">
        <f t="shared" ca="1" si="153"/>
        <v>0</v>
      </c>
    </row>
    <row r="1374" spans="1:19">
      <c r="A1374" s="1" t="s">
        <v>24</v>
      </c>
      <c r="B1374" s="2">
        <v>200</v>
      </c>
      <c r="C1374" s="1">
        <v>0</v>
      </c>
      <c r="D1374" s="1" t="s">
        <v>2680</v>
      </c>
      <c r="E1374" s="1">
        <v>99</v>
      </c>
      <c r="F1374" s="3">
        <v>1700</v>
      </c>
      <c r="G1374" s="1">
        <v>0</v>
      </c>
      <c r="H1374" s="1" t="s">
        <v>2681</v>
      </c>
      <c r="I1374" s="1" t="s">
        <v>2682</v>
      </c>
      <c r="J1374" s="1" t="s">
        <v>2554</v>
      </c>
      <c r="K1374" s="1" t="s">
        <v>16</v>
      </c>
      <c r="L1374" s="1" t="s">
        <v>28</v>
      </c>
      <c r="M1374">
        <f t="shared" si="147"/>
        <v>200</v>
      </c>
      <c r="N1374" t="str">
        <f t="shared" si="148"/>
        <v>1978-12-22</v>
      </c>
      <c r="O1374">
        <f t="shared" si="149"/>
        <v>34</v>
      </c>
      <c r="P1374" t="str">
        <f t="shared" si="150"/>
        <v>mężczyzna</v>
      </c>
      <c r="Q1374">
        <f t="shared" si="151"/>
        <v>0</v>
      </c>
      <c r="R1374">
        <f t="shared" si="152"/>
        <v>1</v>
      </c>
      <c r="S1374">
        <f t="shared" ca="1" si="153"/>
        <v>0</v>
      </c>
    </row>
    <row r="1375" spans="1:19">
      <c r="A1375" s="1" t="s">
        <v>19</v>
      </c>
      <c r="B1375" s="2">
        <v>200</v>
      </c>
      <c r="C1375" s="1">
        <v>200</v>
      </c>
      <c r="D1375" s="1" t="s">
        <v>78</v>
      </c>
      <c r="E1375" s="1">
        <v>13</v>
      </c>
      <c r="F1375" s="3">
        <v>730</v>
      </c>
      <c r="G1375" s="1">
        <v>7</v>
      </c>
      <c r="H1375" s="1" t="s">
        <v>2683</v>
      </c>
      <c r="I1375" s="1" t="s">
        <v>80</v>
      </c>
      <c r="J1375" s="1" t="s">
        <v>16</v>
      </c>
      <c r="K1375" s="1" t="s">
        <v>2636</v>
      </c>
      <c r="L1375" s="1" t="s">
        <v>2570</v>
      </c>
      <c r="M1375">
        <f t="shared" si="147"/>
        <v>200</v>
      </c>
      <c r="N1375" t="str">
        <f t="shared" si="148"/>
        <v>1939-08-25</v>
      </c>
      <c r="O1375">
        <f t="shared" si="149"/>
        <v>73</v>
      </c>
      <c r="P1375" t="str">
        <f t="shared" si="150"/>
        <v>kobieta</v>
      </c>
      <c r="Q1375">
        <f t="shared" si="151"/>
        <v>565</v>
      </c>
      <c r="R1375">
        <f t="shared" si="152"/>
        <v>48</v>
      </c>
      <c r="S1375">
        <f t="shared" ca="1" si="153"/>
        <v>1</v>
      </c>
    </row>
    <row r="1376" spans="1:19">
      <c r="A1376" s="1" t="s">
        <v>19</v>
      </c>
      <c r="B1376" s="2">
        <v>400</v>
      </c>
      <c r="C1376" s="1">
        <v>400</v>
      </c>
      <c r="D1376" s="1" t="s">
        <v>898</v>
      </c>
      <c r="E1376" s="1">
        <v>16</v>
      </c>
      <c r="F1376" s="3">
        <v>1411</v>
      </c>
      <c r="G1376" s="1">
        <v>5</v>
      </c>
      <c r="H1376" s="1" t="s">
        <v>2684</v>
      </c>
      <c r="I1376" s="1" t="s">
        <v>807</v>
      </c>
      <c r="J1376" s="1" t="s">
        <v>16</v>
      </c>
      <c r="K1376" s="1" t="s">
        <v>2636</v>
      </c>
      <c r="L1376" s="1" t="s">
        <v>2637</v>
      </c>
      <c r="M1376">
        <f t="shared" si="147"/>
        <v>400</v>
      </c>
      <c r="N1376" t="str">
        <f t="shared" si="148"/>
        <v>1951-07-12</v>
      </c>
      <c r="O1376">
        <f t="shared" si="149"/>
        <v>61</v>
      </c>
      <c r="P1376" t="str">
        <f t="shared" si="150"/>
        <v>kobieta</v>
      </c>
      <c r="Q1376">
        <f t="shared" si="151"/>
        <v>70</v>
      </c>
      <c r="R1376">
        <f t="shared" si="152"/>
        <v>48</v>
      </c>
      <c r="S1376">
        <f t="shared" ca="1" si="153"/>
        <v>2</v>
      </c>
    </row>
    <row r="1377" spans="1:19">
      <c r="A1377" s="1" t="s">
        <v>19</v>
      </c>
      <c r="B1377" s="2">
        <v>630</v>
      </c>
      <c r="C1377" s="1">
        <v>630</v>
      </c>
      <c r="D1377" s="1" t="s">
        <v>182</v>
      </c>
      <c r="E1377" s="1">
        <v>13</v>
      </c>
      <c r="F1377" s="3">
        <v>3251</v>
      </c>
      <c r="G1377" s="1">
        <v>2</v>
      </c>
      <c r="H1377" s="1" t="s">
        <v>2685</v>
      </c>
      <c r="I1377" s="1" t="s">
        <v>184</v>
      </c>
      <c r="J1377" s="1" t="s">
        <v>16</v>
      </c>
      <c r="K1377" s="1" t="s">
        <v>2636</v>
      </c>
      <c r="L1377" s="1" t="s">
        <v>2604</v>
      </c>
      <c r="M1377">
        <f t="shared" si="147"/>
        <v>630</v>
      </c>
      <c r="N1377" t="str">
        <f t="shared" si="148"/>
        <v>1948-12-07</v>
      </c>
      <c r="O1377">
        <f t="shared" si="149"/>
        <v>64</v>
      </c>
      <c r="P1377" t="str">
        <f t="shared" si="150"/>
        <v>kobieta</v>
      </c>
      <c r="Q1377">
        <f t="shared" si="151"/>
        <v>142</v>
      </c>
      <c r="R1377">
        <f t="shared" si="152"/>
        <v>48</v>
      </c>
      <c r="S1377">
        <f t="shared" ca="1" si="153"/>
        <v>0</v>
      </c>
    </row>
    <row r="1378" spans="1:19">
      <c r="A1378" s="1" t="s">
        <v>12</v>
      </c>
      <c r="B1378" s="2">
        <v>800</v>
      </c>
      <c r="C1378" s="1">
        <v>600</v>
      </c>
      <c r="D1378" s="1" t="s">
        <v>2246</v>
      </c>
      <c r="E1378" s="1">
        <v>11</v>
      </c>
      <c r="F1378" s="3">
        <v>1500</v>
      </c>
      <c r="G1378" s="1">
        <v>0</v>
      </c>
      <c r="H1378" s="1" t="s">
        <v>2686</v>
      </c>
      <c r="I1378" s="1" t="s">
        <v>1514</v>
      </c>
      <c r="J1378" s="1" t="s">
        <v>16</v>
      </c>
      <c r="K1378" s="1" t="s">
        <v>2636</v>
      </c>
      <c r="L1378" s="1" t="s">
        <v>2506</v>
      </c>
      <c r="M1378">
        <f t="shared" si="147"/>
        <v>600</v>
      </c>
      <c r="N1378" t="str">
        <f t="shared" si="148"/>
        <v>1957-02-09</v>
      </c>
      <c r="O1378">
        <f t="shared" si="149"/>
        <v>55</v>
      </c>
      <c r="P1378" t="str">
        <f t="shared" si="150"/>
        <v>kobieta</v>
      </c>
      <c r="Q1378">
        <f t="shared" si="151"/>
        <v>114</v>
      </c>
      <c r="R1378">
        <f t="shared" si="152"/>
        <v>48</v>
      </c>
      <c r="S1378">
        <f t="shared" ca="1" si="153"/>
        <v>0</v>
      </c>
    </row>
    <row r="1379" spans="1:19">
      <c r="A1379" s="1" t="s">
        <v>19</v>
      </c>
      <c r="B1379" s="2">
        <v>1000</v>
      </c>
      <c r="C1379" s="1">
        <v>1000</v>
      </c>
      <c r="D1379" s="1" t="s">
        <v>1131</v>
      </c>
      <c r="E1379" s="1">
        <v>13</v>
      </c>
      <c r="F1379" s="3">
        <v>2612</v>
      </c>
      <c r="G1379" s="1">
        <v>0</v>
      </c>
      <c r="H1379" s="1" t="s">
        <v>2687</v>
      </c>
      <c r="I1379" s="1" t="s">
        <v>1133</v>
      </c>
      <c r="J1379" s="1" t="s">
        <v>16</v>
      </c>
      <c r="K1379" s="1" t="s">
        <v>2688</v>
      </c>
      <c r="L1379" s="1" t="s">
        <v>2350</v>
      </c>
      <c r="M1379">
        <f t="shared" si="147"/>
        <v>1000</v>
      </c>
      <c r="N1379" t="str">
        <f t="shared" si="148"/>
        <v>1939-10-23</v>
      </c>
      <c r="O1379">
        <f t="shared" si="149"/>
        <v>73</v>
      </c>
      <c r="P1379" t="str">
        <f t="shared" si="150"/>
        <v>mężczyzna</v>
      </c>
      <c r="Q1379">
        <f t="shared" si="151"/>
        <v>86</v>
      </c>
      <c r="R1379">
        <f t="shared" si="152"/>
        <v>48</v>
      </c>
      <c r="S1379">
        <f t="shared" ca="1" si="153"/>
        <v>0</v>
      </c>
    </row>
    <row r="1380" spans="1:19">
      <c r="A1380" s="1" t="s">
        <v>24</v>
      </c>
      <c r="B1380" s="2">
        <v>600</v>
      </c>
      <c r="C1380" s="1">
        <v>0</v>
      </c>
      <c r="D1380" s="1" t="s">
        <v>2689</v>
      </c>
      <c r="E1380" s="1">
        <v>99</v>
      </c>
      <c r="F1380" s="3">
        <v>1126</v>
      </c>
      <c r="G1380" s="1">
        <v>0</v>
      </c>
      <c r="H1380" s="1" t="s">
        <v>2690</v>
      </c>
      <c r="I1380" s="1" t="s">
        <v>2691</v>
      </c>
      <c r="J1380" s="1" t="s">
        <v>2108</v>
      </c>
      <c r="K1380" s="1" t="s">
        <v>16</v>
      </c>
      <c r="L1380" s="1" t="s">
        <v>28</v>
      </c>
      <c r="M1380">
        <f t="shared" si="147"/>
        <v>600</v>
      </c>
      <c r="N1380" t="str">
        <f t="shared" si="148"/>
        <v>1976-03-25</v>
      </c>
      <c r="O1380">
        <f t="shared" si="149"/>
        <v>36</v>
      </c>
      <c r="P1380" t="str">
        <f t="shared" si="150"/>
        <v>mężczyzna</v>
      </c>
      <c r="Q1380">
        <f t="shared" si="151"/>
        <v>6</v>
      </c>
      <c r="R1380">
        <f t="shared" si="152"/>
        <v>10</v>
      </c>
      <c r="S1380">
        <f t="shared" ca="1" si="153"/>
        <v>0</v>
      </c>
    </row>
    <row r="1381" spans="1:19">
      <c r="A1381" s="1" t="s">
        <v>12</v>
      </c>
      <c r="B1381" s="2">
        <v>974.28</v>
      </c>
      <c r="C1381" s="1">
        <v>974.28</v>
      </c>
      <c r="D1381" s="1" t="s">
        <v>212</v>
      </c>
      <c r="E1381" s="1">
        <v>13</v>
      </c>
      <c r="F1381" s="3">
        <v>2100</v>
      </c>
      <c r="G1381" s="1">
        <v>7</v>
      </c>
      <c r="H1381" s="1" t="s">
        <v>2692</v>
      </c>
      <c r="I1381" s="1" t="s">
        <v>214</v>
      </c>
      <c r="J1381" s="1" t="s">
        <v>16</v>
      </c>
      <c r="K1381" s="1" t="s">
        <v>2688</v>
      </c>
      <c r="L1381" s="1" t="s">
        <v>1943</v>
      </c>
      <c r="M1381">
        <f t="shared" si="147"/>
        <v>974.28</v>
      </c>
      <c r="N1381" t="str">
        <f t="shared" si="148"/>
        <v>1938-03-02</v>
      </c>
      <c r="O1381">
        <f t="shared" si="149"/>
        <v>74</v>
      </c>
      <c r="P1381" t="str">
        <f t="shared" si="150"/>
        <v>kobieta</v>
      </c>
      <c r="Q1381">
        <f t="shared" si="151"/>
        <v>59</v>
      </c>
      <c r="R1381">
        <f t="shared" si="152"/>
        <v>48</v>
      </c>
      <c r="S1381">
        <f t="shared" ca="1" si="153"/>
        <v>12</v>
      </c>
    </row>
    <row r="1382" spans="1:19">
      <c r="A1382" s="1" t="s">
        <v>12</v>
      </c>
      <c r="B1382" s="2">
        <v>400</v>
      </c>
      <c r="C1382" s="1">
        <v>400</v>
      </c>
      <c r="D1382" s="1" t="s">
        <v>1227</v>
      </c>
      <c r="E1382" s="1">
        <v>11</v>
      </c>
      <c r="F1382" s="3">
        <v>1400</v>
      </c>
      <c r="G1382" s="1">
        <v>0</v>
      </c>
      <c r="H1382" s="1" t="s">
        <v>2693</v>
      </c>
      <c r="I1382" s="1" t="s">
        <v>1229</v>
      </c>
      <c r="J1382" s="1" t="s">
        <v>16</v>
      </c>
      <c r="K1382" s="1" t="s">
        <v>2688</v>
      </c>
      <c r="L1382" s="1" t="s">
        <v>2606</v>
      </c>
      <c r="M1382">
        <f t="shared" si="147"/>
        <v>400</v>
      </c>
      <c r="N1382" t="str">
        <f t="shared" si="148"/>
        <v>1968-03-01</v>
      </c>
      <c r="O1382">
        <f t="shared" si="149"/>
        <v>44</v>
      </c>
      <c r="P1382" t="str">
        <f t="shared" si="150"/>
        <v>kobieta</v>
      </c>
      <c r="Q1382">
        <f t="shared" si="151"/>
        <v>29</v>
      </c>
      <c r="R1382">
        <f t="shared" si="152"/>
        <v>48</v>
      </c>
      <c r="S1382">
        <f t="shared" ca="1" si="153"/>
        <v>1</v>
      </c>
    </row>
    <row r="1383" spans="1:19">
      <c r="A1383" s="1" t="s">
        <v>19</v>
      </c>
      <c r="B1383" s="2">
        <v>300</v>
      </c>
      <c r="C1383" s="1">
        <v>300</v>
      </c>
      <c r="D1383" s="1" t="s">
        <v>1139</v>
      </c>
      <c r="E1383" s="1">
        <v>12</v>
      </c>
      <c r="F1383" s="3">
        <v>1200</v>
      </c>
      <c r="G1383" s="1">
        <v>8</v>
      </c>
      <c r="H1383" s="1" t="s">
        <v>2694</v>
      </c>
      <c r="I1383" s="1" t="s">
        <v>1141</v>
      </c>
      <c r="J1383" s="1" t="s">
        <v>246</v>
      </c>
      <c r="K1383" s="1" t="s">
        <v>2688</v>
      </c>
      <c r="L1383" s="1" t="s">
        <v>2637</v>
      </c>
      <c r="M1383">
        <f t="shared" si="147"/>
        <v>300</v>
      </c>
      <c r="N1383" t="str">
        <f t="shared" si="148"/>
        <v>1976-08-12</v>
      </c>
      <c r="O1383">
        <f t="shared" si="149"/>
        <v>36</v>
      </c>
      <c r="P1383" t="str">
        <f t="shared" si="150"/>
        <v>kobieta</v>
      </c>
      <c r="Q1383">
        <f t="shared" si="151"/>
        <v>13</v>
      </c>
      <c r="R1383">
        <f t="shared" si="152"/>
        <v>1</v>
      </c>
      <c r="S1383">
        <f t="shared" ca="1" si="153"/>
        <v>0</v>
      </c>
    </row>
    <row r="1384" spans="1:19">
      <c r="A1384" s="1" t="s">
        <v>19</v>
      </c>
      <c r="B1384" s="2">
        <v>300</v>
      </c>
      <c r="C1384" s="1">
        <v>300</v>
      </c>
      <c r="D1384" s="1" t="s">
        <v>237</v>
      </c>
      <c r="E1384" s="1">
        <v>11</v>
      </c>
      <c r="F1384" s="3">
        <v>1286.1600000000001</v>
      </c>
      <c r="G1384" s="1">
        <v>1</v>
      </c>
      <c r="H1384" s="1" t="s">
        <v>2695</v>
      </c>
      <c r="I1384" s="1" t="s">
        <v>239</v>
      </c>
      <c r="J1384" s="1" t="s">
        <v>16</v>
      </c>
      <c r="K1384" s="1" t="s">
        <v>2688</v>
      </c>
      <c r="L1384" s="1" t="s">
        <v>2570</v>
      </c>
      <c r="M1384">
        <f t="shared" si="147"/>
        <v>300</v>
      </c>
      <c r="N1384" t="str">
        <f t="shared" si="148"/>
        <v>1969-09-09</v>
      </c>
      <c r="O1384">
        <f t="shared" si="149"/>
        <v>43</v>
      </c>
      <c r="P1384" t="str">
        <f t="shared" si="150"/>
        <v>kobieta</v>
      </c>
      <c r="Q1384">
        <f t="shared" si="151"/>
        <v>121</v>
      </c>
      <c r="R1384">
        <f t="shared" si="152"/>
        <v>48</v>
      </c>
      <c r="S1384">
        <f t="shared" ca="1" si="153"/>
        <v>0</v>
      </c>
    </row>
    <row r="1385" spans="1:19">
      <c r="A1385" s="1" t="s">
        <v>19</v>
      </c>
      <c r="B1385" s="2">
        <v>300</v>
      </c>
      <c r="C1385" s="1">
        <v>300</v>
      </c>
      <c r="D1385" s="1" t="s">
        <v>1075</v>
      </c>
      <c r="E1385" s="1">
        <v>12</v>
      </c>
      <c r="F1385" s="3">
        <v>1027</v>
      </c>
      <c r="G1385" s="1">
        <v>8</v>
      </c>
      <c r="H1385" s="1" t="s">
        <v>2696</v>
      </c>
      <c r="I1385" s="1" t="s">
        <v>1077</v>
      </c>
      <c r="J1385" s="1" t="s">
        <v>1078</v>
      </c>
      <c r="K1385" s="1" t="s">
        <v>2688</v>
      </c>
      <c r="L1385" s="1" t="s">
        <v>2506</v>
      </c>
      <c r="M1385">
        <f t="shared" si="147"/>
        <v>300</v>
      </c>
      <c r="N1385" t="str">
        <f t="shared" si="148"/>
        <v>1972-05-12</v>
      </c>
      <c r="O1385">
        <f t="shared" si="149"/>
        <v>40</v>
      </c>
      <c r="P1385" t="str">
        <f t="shared" si="150"/>
        <v>kobieta</v>
      </c>
      <c r="Q1385">
        <f t="shared" si="151"/>
        <v>13</v>
      </c>
      <c r="R1385">
        <f t="shared" si="152"/>
        <v>47</v>
      </c>
      <c r="S1385">
        <f t="shared" ca="1" si="153"/>
        <v>0</v>
      </c>
    </row>
    <row r="1386" spans="1:19">
      <c r="A1386" s="1" t="s">
        <v>24</v>
      </c>
      <c r="B1386" s="2">
        <v>400</v>
      </c>
      <c r="C1386" s="1">
        <v>0</v>
      </c>
      <c r="D1386" s="1" t="s">
        <v>2697</v>
      </c>
      <c r="E1386" s="1">
        <v>13</v>
      </c>
      <c r="F1386" s="3">
        <v>1547</v>
      </c>
      <c r="G1386" s="1">
        <v>0</v>
      </c>
      <c r="H1386" s="1" t="s">
        <v>2698</v>
      </c>
      <c r="I1386" s="1" t="s">
        <v>2699</v>
      </c>
      <c r="J1386" s="1" t="s">
        <v>16</v>
      </c>
      <c r="K1386" s="1" t="s">
        <v>16</v>
      </c>
      <c r="L1386" s="1" t="s">
        <v>28</v>
      </c>
      <c r="M1386">
        <f t="shared" si="147"/>
        <v>400</v>
      </c>
      <c r="N1386" t="str">
        <f t="shared" si="148"/>
        <v>1944-11-07</v>
      </c>
      <c r="O1386">
        <f t="shared" si="149"/>
        <v>68</v>
      </c>
      <c r="P1386" t="str">
        <f t="shared" si="150"/>
        <v>kobieta</v>
      </c>
      <c r="Q1386">
        <f t="shared" si="151"/>
        <v>72</v>
      </c>
      <c r="R1386">
        <f t="shared" si="152"/>
        <v>48</v>
      </c>
      <c r="S1386">
        <f t="shared" ca="1" si="153"/>
        <v>0</v>
      </c>
    </row>
    <row r="1387" spans="1:19">
      <c r="A1387" s="1" t="s">
        <v>12</v>
      </c>
      <c r="B1387" s="2">
        <v>800</v>
      </c>
      <c r="C1387" s="1">
        <v>500</v>
      </c>
      <c r="D1387" s="1" t="s">
        <v>1817</v>
      </c>
      <c r="E1387" s="1">
        <v>99</v>
      </c>
      <c r="F1387" s="3">
        <v>1400</v>
      </c>
      <c r="G1387" s="1">
        <v>0</v>
      </c>
      <c r="H1387" s="1" t="s">
        <v>2700</v>
      </c>
      <c r="I1387" s="1" t="s">
        <v>1819</v>
      </c>
      <c r="J1387" s="1" t="s">
        <v>2429</v>
      </c>
      <c r="K1387" s="1" t="s">
        <v>2688</v>
      </c>
      <c r="L1387" s="1" t="s">
        <v>2330</v>
      </c>
      <c r="M1387">
        <f t="shared" si="147"/>
        <v>500</v>
      </c>
      <c r="N1387" t="str">
        <f t="shared" si="148"/>
        <v>1965-12-15</v>
      </c>
      <c r="O1387">
        <f t="shared" si="149"/>
        <v>47</v>
      </c>
      <c r="P1387" t="str">
        <f t="shared" si="150"/>
        <v>mężczyzna</v>
      </c>
      <c r="Q1387">
        <f t="shared" si="151"/>
        <v>20</v>
      </c>
      <c r="R1387">
        <f t="shared" si="152"/>
        <v>0</v>
      </c>
      <c r="S1387">
        <f t="shared" ca="1" si="153"/>
        <v>0</v>
      </c>
    </row>
    <row r="1388" spans="1:19">
      <c r="A1388" s="1" t="s">
        <v>12</v>
      </c>
      <c r="B1388" s="2">
        <v>500</v>
      </c>
      <c r="C1388" s="1">
        <v>500</v>
      </c>
      <c r="D1388" s="1" t="s">
        <v>2701</v>
      </c>
      <c r="E1388" s="1">
        <v>12</v>
      </c>
      <c r="F1388" s="3">
        <v>1400</v>
      </c>
      <c r="G1388" s="1">
        <v>0</v>
      </c>
      <c r="H1388" s="1" t="s">
        <v>2702</v>
      </c>
      <c r="I1388" s="1" t="s">
        <v>2703</v>
      </c>
      <c r="J1388" s="1" t="s">
        <v>520</v>
      </c>
      <c r="K1388" s="1" t="s">
        <v>2688</v>
      </c>
      <c r="L1388" s="1" t="s">
        <v>2704</v>
      </c>
      <c r="M1388">
        <f t="shared" si="147"/>
        <v>500</v>
      </c>
      <c r="N1388" t="str">
        <f t="shared" si="148"/>
        <v>1954-05-06</v>
      </c>
      <c r="O1388">
        <f t="shared" si="149"/>
        <v>58</v>
      </c>
      <c r="P1388" t="str">
        <f t="shared" si="150"/>
        <v>kobieta</v>
      </c>
      <c r="Q1388">
        <f t="shared" si="151"/>
        <v>9</v>
      </c>
      <c r="R1388">
        <f t="shared" si="152"/>
        <v>6</v>
      </c>
      <c r="S1388">
        <f t="shared" ca="1" si="153"/>
        <v>7</v>
      </c>
    </row>
    <row r="1389" spans="1:19">
      <c r="A1389" s="1" t="s">
        <v>24</v>
      </c>
      <c r="B1389" s="2">
        <v>1000</v>
      </c>
      <c r="C1389" s="1">
        <v>0</v>
      </c>
      <c r="D1389" s="1" t="s">
        <v>2705</v>
      </c>
      <c r="E1389" s="1">
        <v>12</v>
      </c>
      <c r="F1389" s="3">
        <v>1550</v>
      </c>
      <c r="G1389" s="1">
        <v>0</v>
      </c>
      <c r="H1389" s="1" t="s">
        <v>2706</v>
      </c>
      <c r="I1389" s="1" t="s">
        <v>2707</v>
      </c>
      <c r="J1389" s="1" t="s">
        <v>1340</v>
      </c>
      <c r="K1389" s="1" t="s">
        <v>16</v>
      </c>
      <c r="L1389" s="1" t="s">
        <v>28</v>
      </c>
      <c r="M1389">
        <f t="shared" si="147"/>
        <v>1000</v>
      </c>
      <c r="N1389" t="str">
        <f t="shared" si="148"/>
        <v>1976-09-10</v>
      </c>
      <c r="O1389">
        <f t="shared" si="149"/>
        <v>36</v>
      </c>
      <c r="P1389" t="str">
        <f t="shared" si="150"/>
        <v>kobieta</v>
      </c>
      <c r="Q1389">
        <f t="shared" si="151"/>
        <v>6</v>
      </c>
      <c r="R1389">
        <f t="shared" si="152"/>
        <v>18</v>
      </c>
      <c r="S1389">
        <f t="shared" ca="1" si="153"/>
        <v>0</v>
      </c>
    </row>
    <row r="1390" spans="1:19">
      <c r="A1390" s="1" t="s">
        <v>19</v>
      </c>
      <c r="B1390" s="2">
        <v>374.91</v>
      </c>
      <c r="C1390" s="1">
        <v>374.91</v>
      </c>
      <c r="D1390" s="1" t="s">
        <v>628</v>
      </c>
      <c r="E1390" s="1">
        <v>12</v>
      </c>
      <c r="F1390" s="3">
        <v>1000</v>
      </c>
      <c r="G1390" s="1">
        <v>2</v>
      </c>
      <c r="H1390" s="1" t="s">
        <v>2708</v>
      </c>
      <c r="I1390" s="1" t="s">
        <v>630</v>
      </c>
      <c r="J1390" s="1" t="s">
        <v>631</v>
      </c>
      <c r="K1390" s="1" t="s">
        <v>2688</v>
      </c>
      <c r="L1390" s="1" t="s">
        <v>2637</v>
      </c>
      <c r="M1390">
        <f t="shared" si="147"/>
        <v>374.91</v>
      </c>
      <c r="N1390" t="str">
        <f t="shared" si="148"/>
        <v>1957-02-18</v>
      </c>
      <c r="O1390">
        <f t="shared" si="149"/>
        <v>55</v>
      </c>
      <c r="P1390" t="str">
        <f t="shared" si="150"/>
        <v>kobieta</v>
      </c>
      <c r="Q1390">
        <f t="shared" si="151"/>
        <v>49</v>
      </c>
      <c r="R1390">
        <f t="shared" si="152"/>
        <v>20</v>
      </c>
      <c r="S1390">
        <f t="shared" ca="1" si="153"/>
        <v>0</v>
      </c>
    </row>
    <row r="1391" spans="1:19">
      <c r="A1391" s="1" t="s">
        <v>24</v>
      </c>
      <c r="B1391" s="2">
        <v>1000</v>
      </c>
      <c r="C1391" s="1">
        <v>0</v>
      </c>
      <c r="D1391" s="1" t="s">
        <v>2709</v>
      </c>
      <c r="E1391" s="1">
        <v>99</v>
      </c>
      <c r="F1391" s="3">
        <v>1785</v>
      </c>
      <c r="G1391" s="1">
        <v>0</v>
      </c>
      <c r="H1391" s="1" t="s">
        <v>2710</v>
      </c>
      <c r="I1391" s="1" t="s">
        <v>1384</v>
      </c>
      <c r="J1391" s="1" t="s">
        <v>2429</v>
      </c>
      <c r="K1391" s="1" t="s">
        <v>16</v>
      </c>
      <c r="L1391" s="1" t="s">
        <v>28</v>
      </c>
      <c r="M1391">
        <f t="shared" si="147"/>
        <v>1000</v>
      </c>
      <c r="N1391" t="str">
        <f t="shared" si="148"/>
        <v>1974-07-18</v>
      </c>
      <c r="O1391">
        <f t="shared" si="149"/>
        <v>38</v>
      </c>
      <c r="P1391" t="str">
        <f t="shared" si="150"/>
        <v>mężczyzna</v>
      </c>
      <c r="Q1391">
        <f t="shared" si="151"/>
        <v>2</v>
      </c>
      <c r="R1391">
        <f t="shared" si="152"/>
        <v>0</v>
      </c>
      <c r="S1391">
        <f t="shared" ca="1" si="153"/>
        <v>0</v>
      </c>
    </row>
    <row r="1392" spans="1:19">
      <c r="A1392" s="1" t="s">
        <v>19</v>
      </c>
      <c r="B1392" s="2">
        <v>350</v>
      </c>
      <c r="C1392" s="1">
        <v>350</v>
      </c>
      <c r="D1392" s="1" t="s">
        <v>48</v>
      </c>
      <c r="E1392" s="1">
        <v>13</v>
      </c>
      <c r="F1392" s="3">
        <v>1130</v>
      </c>
      <c r="G1392" s="1">
        <v>0</v>
      </c>
      <c r="H1392" s="1" t="s">
        <v>2711</v>
      </c>
      <c r="I1392" s="1" t="s">
        <v>50</v>
      </c>
      <c r="J1392" s="1" t="s">
        <v>16</v>
      </c>
      <c r="K1392" s="1" t="s">
        <v>2688</v>
      </c>
      <c r="L1392" s="1" t="s">
        <v>2712</v>
      </c>
      <c r="M1392">
        <f t="shared" si="147"/>
        <v>350</v>
      </c>
      <c r="N1392" t="str">
        <f t="shared" si="148"/>
        <v>1949-05-20</v>
      </c>
      <c r="O1392">
        <f t="shared" si="149"/>
        <v>63</v>
      </c>
      <c r="P1392" t="str">
        <f t="shared" si="150"/>
        <v>kobieta</v>
      </c>
      <c r="Q1392">
        <f t="shared" si="151"/>
        <v>107</v>
      </c>
      <c r="R1392">
        <f t="shared" si="152"/>
        <v>48</v>
      </c>
      <c r="S1392">
        <f t="shared" ca="1" si="153"/>
        <v>3</v>
      </c>
    </row>
    <row r="1393" spans="1:19">
      <c r="A1393" s="1" t="s">
        <v>19</v>
      </c>
      <c r="B1393" s="2">
        <v>267.98</v>
      </c>
      <c r="C1393" s="1">
        <v>267.98</v>
      </c>
      <c r="D1393" s="1" t="s">
        <v>60</v>
      </c>
      <c r="E1393" s="1">
        <v>11</v>
      </c>
      <c r="F1393" s="3">
        <v>1050</v>
      </c>
      <c r="G1393" s="1">
        <v>7</v>
      </c>
      <c r="H1393" s="1" t="s">
        <v>2713</v>
      </c>
      <c r="I1393" s="1" t="s">
        <v>62</v>
      </c>
      <c r="J1393" s="1" t="s">
        <v>16</v>
      </c>
      <c r="K1393" s="1" t="s">
        <v>2688</v>
      </c>
      <c r="L1393" s="1" t="s">
        <v>2133</v>
      </c>
      <c r="M1393">
        <f t="shared" si="147"/>
        <v>267.98</v>
      </c>
      <c r="N1393" t="str">
        <f t="shared" si="148"/>
        <v>1959-09-11</v>
      </c>
      <c r="O1393">
        <f t="shared" si="149"/>
        <v>53</v>
      </c>
      <c r="P1393" t="str">
        <f t="shared" si="150"/>
        <v>kobieta</v>
      </c>
      <c r="Q1393">
        <f t="shared" si="151"/>
        <v>38</v>
      </c>
      <c r="R1393">
        <f t="shared" si="152"/>
        <v>48</v>
      </c>
      <c r="S1393">
        <f t="shared" ca="1" si="153"/>
        <v>2</v>
      </c>
    </row>
    <row r="1394" spans="1:19">
      <c r="A1394" s="1" t="s">
        <v>12</v>
      </c>
      <c r="B1394" s="2">
        <v>200</v>
      </c>
      <c r="C1394" s="1">
        <v>200</v>
      </c>
      <c r="D1394" s="1" t="s">
        <v>2201</v>
      </c>
      <c r="E1394" s="1">
        <v>12</v>
      </c>
      <c r="F1394" s="3">
        <v>700</v>
      </c>
      <c r="G1394" s="1">
        <v>1</v>
      </c>
      <c r="H1394" s="1" t="s">
        <v>2714</v>
      </c>
      <c r="I1394" s="1" t="s">
        <v>2203</v>
      </c>
      <c r="J1394" s="1" t="s">
        <v>246</v>
      </c>
      <c r="K1394" s="1" t="s">
        <v>2688</v>
      </c>
      <c r="L1394" s="1" t="s">
        <v>2133</v>
      </c>
      <c r="M1394">
        <f t="shared" si="147"/>
        <v>200</v>
      </c>
      <c r="N1394" t="str">
        <f t="shared" si="148"/>
        <v>1990-04-27</v>
      </c>
      <c r="O1394">
        <f t="shared" si="149"/>
        <v>22</v>
      </c>
      <c r="P1394" t="str">
        <f t="shared" si="150"/>
        <v>kobieta</v>
      </c>
      <c r="Q1394">
        <f t="shared" si="151"/>
        <v>4</v>
      </c>
      <c r="R1394">
        <f t="shared" si="152"/>
        <v>1</v>
      </c>
      <c r="S1394">
        <f t="shared" ca="1" si="153"/>
        <v>2</v>
      </c>
    </row>
    <row r="1395" spans="1:19">
      <c r="A1395" s="1" t="s">
        <v>24</v>
      </c>
      <c r="B1395" s="2">
        <v>400</v>
      </c>
      <c r="C1395" s="1">
        <v>0</v>
      </c>
      <c r="D1395" s="1" t="s">
        <v>2715</v>
      </c>
      <c r="E1395" s="1">
        <v>11</v>
      </c>
      <c r="F1395" s="3">
        <v>1097</v>
      </c>
      <c r="G1395" s="1">
        <v>0</v>
      </c>
      <c r="H1395" s="1" t="s">
        <v>2716</v>
      </c>
      <c r="I1395" s="1" t="s">
        <v>2717</v>
      </c>
      <c r="J1395" s="1" t="s">
        <v>16</v>
      </c>
      <c r="K1395" s="1" t="s">
        <v>16</v>
      </c>
      <c r="L1395" s="1" t="s">
        <v>28</v>
      </c>
      <c r="M1395">
        <f t="shared" si="147"/>
        <v>400</v>
      </c>
      <c r="N1395" t="str">
        <f t="shared" si="148"/>
        <v>1956-01-16</v>
      </c>
      <c r="O1395">
        <f t="shared" si="149"/>
        <v>56</v>
      </c>
      <c r="P1395" t="str">
        <f t="shared" si="150"/>
        <v>mężczyzna</v>
      </c>
      <c r="Q1395">
        <f t="shared" si="151"/>
        <v>60</v>
      </c>
      <c r="R1395">
        <f t="shared" si="152"/>
        <v>48</v>
      </c>
      <c r="S1395">
        <f t="shared" ca="1" si="153"/>
        <v>0</v>
      </c>
    </row>
    <row r="1396" spans="1:19">
      <c r="A1396" s="1" t="s">
        <v>19</v>
      </c>
      <c r="B1396" s="2">
        <v>400</v>
      </c>
      <c r="C1396" s="1">
        <v>300</v>
      </c>
      <c r="D1396" s="1" t="s">
        <v>2718</v>
      </c>
      <c r="E1396" s="1">
        <v>12</v>
      </c>
      <c r="F1396" s="3">
        <v>1231</v>
      </c>
      <c r="G1396" s="1">
        <v>0</v>
      </c>
      <c r="H1396" s="1" t="s">
        <v>2719</v>
      </c>
      <c r="I1396" s="1" t="s">
        <v>1384</v>
      </c>
      <c r="J1396" s="1" t="s">
        <v>2720</v>
      </c>
      <c r="K1396" s="1" t="s">
        <v>2688</v>
      </c>
      <c r="L1396" s="1" t="s">
        <v>2506</v>
      </c>
      <c r="M1396">
        <f t="shared" si="147"/>
        <v>300</v>
      </c>
      <c r="N1396" t="str">
        <f t="shared" si="148"/>
        <v>1948-12-17</v>
      </c>
      <c r="O1396">
        <f t="shared" si="149"/>
        <v>64</v>
      </c>
      <c r="P1396" t="str">
        <f t="shared" si="150"/>
        <v>mężczyzna</v>
      </c>
      <c r="Q1396">
        <f t="shared" si="151"/>
        <v>2</v>
      </c>
      <c r="R1396">
        <f t="shared" si="152"/>
        <v>5</v>
      </c>
      <c r="S1396">
        <f t="shared" ca="1" si="153"/>
        <v>0</v>
      </c>
    </row>
    <row r="1397" spans="1:19">
      <c r="A1397" s="1" t="s">
        <v>24</v>
      </c>
      <c r="B1397" s="2">
        <v>800</v>
      </c>
      <c r="C1397" s="1">
        <v>0</v>
      </c>
      <c r="D1397" s="1" t="s">
        <v>2721</v>
      </c>
      <c r="E1397" s="1">
        <v>99</v>
      </c>
      <c r="F1397" s="3">
        <v>728</v>
      </c>
      <c r="G1397" s="1">
        <v>0</v>
      </c>
      <c r="H1397" s="1" t="s">
        <v>2722</v>
      </c>
      <c r="I1397" s="1" t="s">
        <v>1180</v>
      </c>
      <c r="J1397" s="1" t="s">
        <v>507</v>
      </c>
      <c r="K1397" s="1" t="s">
        <v>16</v>
      </c>
      <c r="L1397" s="1" t="s">
        <v>28</v>
      </c>
      <c r="M1397">
        <f t="shared" si="147"/>
        <v>800</v>
      </c>
      <c r="N1397" t="str">
        <f t="shared" si="148"/>
        <v>1992-05-16</v>
      </c>
      <c r="O1397">
        <f t="shared" si="149"/>
        <v>20</v>
      </c>
      <c r="P1397" t="str">
        <f t="shared" si="150"/>
        <v>mężczyzna</v>
      </c>
      <c r="Q1397">
        <f t="shared" si="151"/>
        <v>1</v>
      </c>
      <c r="R1397">
        <f t="shared" si="152"/>
        <v>2</v>
      </c>
      <c r="S1397">
        <f t="shared" ca="1" si="153"/>
        <v>0</v>
      </c>
    </row>
    <row r="1398" spans="1:19">
      <c r="A1398" s="1" t="s">
        <v>19</v>
      </c>
      <c r="B1398" s="2">
        <v>700</v>
      </c>
      <c r="C1398" s="1">
        <v>600</v>
      </c>
      <c r="D1398" s="1" t="s">
        <v>747</v>
      </c>
      <c r="E1398" s="1">
        <v>13</v>
      </c>
      <c r="F1398" s="3">
        <v>3700</v>
      </c>
      <c r="G1398" s="1">
        <v>0</v>
      </c>
      <c r="H1398" s="1" t="s">
        <v>2723</v>
      </c>
      <c r="I1398" s="1" t="s">
        <v>96</v>
      </c>
      <c r="J1398" s="1" t="s">
        <v>16</v>
      </c>
      <c r="K1398" s="1" t="s">
        <v>2688</v>
      </c>
      <c r="L1398" s="1" t="s">
        <v>2637</v>
      </c>
      <c r="M1398">
        <f t="shared" si="147"/>
        <v>600</v>
      </c>
      <c r="N1398" t="str">
        <f t="shared" si="148"/>
        <v>1949-07-02</v>
      </c>
      <c r="O1398">
        <f t="shared" si="149"/>
        <v>63</v>
      </c>
      <c r="P1398" t="str">
        <f t="shared" si="150"/>
        <v>kobieta</v>
      </c>
      <c r="Q1398">
        <f t="shared" si="151"/>
        <v>31</v>
      </c>
      <c r="R1398">
        <f t="shared" si="152"/>
        <v>48</v>
      </c>
      <c r="S1398">
        <f t="shared" ca="1" si="153"/>
        <v>0</v>
      </c>
    </row>
    <row r="1399" spans="1:19">
      <c r="A1399" s="1" t="s">
        <v>19</v>
      </c>
      <c r="B1399" s="2">
        <v>500</v>
      </c>
      <c r="C1399" s="1">
        <v>500</v>
      </c>
      <c r="D1399" s="1" t="s">
        <v>261</v>
      </c>
      <c r="E1399" s="1">
        <v>11</v>
      </c>
      <c r="F1399" s="3">
        <v>1700</v>
      </c>
      <c r="G1399" s="1">
        <v>0</v>
      </c>
      <c r="H1399" s="1" t="s">
        <v>2724</v>
      </c>
      <c r="I1399" s="1" t="s">
        <v>263</v>
      </c>
      <c r="J1399" s="1" t="s">
        <v>16</v>
      </c>
      <c r="K1399" s="1" t="s">
        <v>2688</v>
      </c>
      <c r="L1399" s="1" t="s">
        <v>2637</v>
      </c>
      <c r="M1399">
        <f t="shared" si="147"/>
        <v>500</v>
      </c>
      <c r="N1399" t="str">
        <f t="shared" si="148"/>
        <v>1958-08-25</v>
      </c>
      <c r="O1399">
        <f t="shared" si="149"/>
        <v>54</v>
      </c>
      <c r="P1399" t="str">
        <f t="shared" si="150"/>
        <v>kobieta</v>
      </c>
      <c r="Q1399">
        <f t="shared" si="151"/>
        <v>209</v>
      </c>
      <c r="R1399">
        <f t="shared" si="152"/>
        <v>48</v>
      </c>
      <c r="S1399">
        <f t="shared" ca="1" si="153"/>
        <v>0</v>
      </c>
    </row>
    <row r="1400" spans="1:19">
      <c r="A1400" s="1" t="s">
        <v>19</v>
      </c>
      <c r="B1400" s="2">
        <v>300</v>
      </c>
      <c r="C1400" s="1">
        <v>200</v>
      </c>
      <c r="D1400" s="1" t="s">
        <v>2725</v>
      </c>
      <c r="E1400" s="1">
        <v>13</v>
      </c>
      <c r="F1400" s="3">
        <v>917</v>
      </c>
      <c r="G1400" s="1">
        <v>0</v>
      </c>
      <c r="H1400" s="1" t="s">
        <v>2726</v>
      </c>
      <c r="I1400" s="1" t="s">
        <v>709</v>
      </c>
      <c r="J1400" s="1" t="s">
        <v>16</v>
      </c>
      <c r="K1400" s="1" t="s">
        <v>2688</v>
      </c>
      <c r="L1400" s="1" t="s">
        <v>2506</v>
      </c>
      <c r="M1400">
        <f t="shared" si="147"/>
        <v>200</v>
      </c>
      <c r="N1400" t="str">
        <f t="shared" si="148"/>
        <v>1951-03-24</v>
      </c>
      <c r="O1400">
        <f t="shared" si="149"/>
        <v>61</v>
      </c>
      <c r="P1400" t="str">
        <f t="shared" si="150"/>
        <v>kobieta</v>
      </c>
      <c r="Q1400">
        <f t="shared" si="151"/>
        <v>81</v>
      </c>
      <c r="R1400">
        <f t="shared" si="152"/>
        <v>48</v>
      </c>
      <c r="S1400">
        <f t="shared" ca="1" si="153"/>
        <v>0</v>
      </c>
    </row>
    <row r="1401" spans="1:19">
      <c r="A1401" s="1" t="s">
        <v>19</v>
      </c>
      <c r="B1401" s="2">
        <v>247.28</v>
      </c>
      <c r="C1401" s="1">
        <v>247.28</v>
      </c>
      <c r="D1401" s="1" t="s">
        <v>111</v>
      </c>
      <c r="E1401" s="1">
        <v>13</v>
      </c>
      <c r="F1401" s="3">
        <v>611</v>
      </c>
      <c r="G1401" s="1">
        <v>7</v>
      </c>
      <c r="H1401" s="1" t="s">
        <v>2727</v>
      </c>
      <c r="I1401" s="1" t="s">
        <v>113</v>
      </c>
      <c r="J1401" s="1" t="s">
        <v>16</v>
      </c>
      <c r="K1401" s="1" t="s">
        <v>1860</v>
      </c>
      <c r="L1401" s="1" t="s">
        <v>2712</v>
      </c>
      <c r="M1401">
        <f t="shared" si="147"/>
        <v>247.28</v>
      </c>
      <c r="N1401" t="str">
        <f t="shared" si="148"/>
        <v>1954-06-09</v>
      </c>
      <c r="O1401">
        <f t="shared" si="149"/>
        <v>58</v>
      </c>
      <c r="P1401" t="str">
        <f t="shared" si="150"/>
        <v>kobieta</v>
      </c>
      <c r="Q1401">
        <f t="shared" si="151"/>
        <v>143</v>
      </c>
      <c r="R1401">
        <f t="shared" si="152"/>
        <v>48</v>
      </c>
      <c r="S1401">
        <f t="shared" ca="1" si="153"/>
        <v>2</v>
      </c>
    </row>
    <row r="1402" spans="1:19">
      <c r="A1402" s="1" t="s">
        <v>19</v>
      </c>
      <c r="B1402" s="2">
        <v>300</v>
      </c>
      <c r="C1402" s="1">
        <v>300</v>
      </c>
      <c r="D1402" s="1" t="s">
        <v>820</v>
      </c>
      <c r="E1402" s="1">
        <v>11</v>
      </c>
      <c r="F1402" s="3">
        <v>900</v>
      </c>
      <c r="G1402" s="1">
        <v>8</v>
      </c>
      <c r="H1402" s="1" t="s">
        <v>2728</v>
      </c>
      <c r="I1402" s="1" t="s">
        <v>822</v>
      </c>
      <c r="J1402" s="1" t="s">
        <v>16</v>
      </c>
      <c r="K1402" s="1" t="s">
        <v>1860</v>
      </c>
      <c r="L1402" s="1" t="s">
        <v>2704</v>
      </c>
      <c r="M1402">
        <f t="shared" si="147"/>
        <v>300</v>
      </c>
      <c r="N1402" t="str">
        <f t="shared" si="148"/>
        <v>1965-10-26</v>
      </c>
      <c r="O1402">
        <f t="shared" si="149"/>
        <v>47</v>
      </c>
      <c r="P1402" t="str">
        <f t="shared" si="150"/>
        <v>kobieta</v>
      </c>
      <c r="Q1402">
        <f t="shared" si="151"/>
        <v>97</v>
      </c>
      <c r="R1402">
        <f t="shared" si="152"/>
        <v>48</v>
      </c>
      <c r="S1402">
        <f t="shared" ca="1" si="153"/>
        <v>6</v>
      </c>
    </row>
    <row r="1403" spans="1:19">
      <c r="A1403" s="1" t="s">
        <v>19</v>
      </c>
      <c r="B1403" s="2">
        <v>300</v>
      </c>
      <c r="C1403" s="1">
        <v>300</v>
      </c>
      <c r="D1403" s="1" t="s">
        <v>108</v>
      </c>
      <c r="E1403" s="1">
        <v>13</v>
      </c>
      <c r="F1403" s="3">
        <v>729.03</v>
      </c>
      <c r="G1403" s="1">
        <v>2</v>
      </c>
      <c r="H1403" s="1" t="s">
        <v>2729</v>
      </c>
      <c r="I1403" s="1" t="s">
        <v>110</v>
      </c>
      <c r="J1403" s="1" t="s">
        <v>16</v>
      </c>
      <c r="K1403" s="1" t="s">
        <v>1860</v>
      </c>
      <c r="L1403" s="1" t="s">
        <v>2730</v>
      </c>
      <c r="M1403">
        <f t="shared" si="147"/>
        <v>300</v>
      </c>
      <c r="N1403" t="str">
        <f t="shared" si="148"/>
        <v>1941-08-29</v>
      </c>
      <c r="O1403">
        <f t="shared" si="149"/>
        <v>71</v>
      </c>
      <c r="P1403" t="str">
        <f t="shared" si="150"/>
        <v>kobieta</v>
      </c>
      <c r="Q1403">
        <f t="shared" si="151"/>
        <v>261</v>
      </c>
      <c r="R1403">
        <f t="shared" si="152"/>
        <v>48</v>
      </c>
      <c r="S1403">
        <f t="shared" ca="1" si="153"/>
        <v>4</v>
      </c>
    </row>
    <row r="1404" spans="1:19">
      <c r="A1404" s="1" t="s">
        <v>12</v>
      </c>
      <c r="B1404" s="2">
        <v>300</v>
      </c>
      <c r="C1404" s="1">
        <v>300</v>
      </c>
      <c r="D1404" s="1" t="s">
        <v>286</v>
      </c>
      <c r="E1404" s="1">
        <v>11</v>
      </c>
      <c r="F1404" s="3">
        <v>1300</v>
      </c>
      <c r="G1404" s="1">
        <v>0</v>
      </c>
      <c r="H1404" s="1" t="s">
        <v>2731</v>
      </c>
      <c r="I1404" s="1" t="s">
        <v>288</v>
      </c>
      <c r="J1404" s="1" t="s">
        <v>16</v>
      </c>
      <c r="K1404" s="1" t="s">
        <v>1860</v>
      </c>
      <c r="L1404" s="1" t="s">
        <v>2506</v>
      </c>
      <c r="M1404">
        <f t="shared" si="147"/>
        <v>300</v>
      </c>
      <c r="N1404" t="str">
        <f t="shared" si="148"/>
        <v>1958-12-16</v>
      </c>
      <c r="O1404">
        <f t="shared" si="149"/>
        <v>54</v>
      </c>
      <c r="P1404" t="str">
        <f t="shared" si="150"/>
        <v>mężczyzna</v>
      </c>
      <c r="Q1404">
        <f t="shared" si="151"/>
        <v>456</v>
      </c>
      <c r="R1404">
        <f t="shared" si="152"/>
        <v>48</v>
      </c>
      <c r="S1404">
        <f t="shared" ca="1" si="153"/>
        <v>0</v>
      </c>
    </row>
    <row r="1405" spans="1:19">
      <c r="A1405" s="1" t="s">
        <v>56</v>
      </c>
      <c r="B1405" s="2">
        <v>200</v>
      </c>
      <c r="C1405" s="1">
        <v>200</v>
      </c>
      <c r="D1405" s="1" t="s">
        <v>737</v>
      </c>
      <c r="E1405" s="1">
        <v>11</v>
      </c>
      <c r="F1405" s="3">
        <v>1600</v>
      </c>
      <c r="G1405" s="1">
        <v>2</v>
      </c>
      <c r="H1405" s="1" t="s">
        <v>2732</v>
      </c>
      <c r="I1405" s="1" t="s">
        <v>739</v>
      </c>
      <c r="J1405" s="1" t="s">
        <v>16</v>
      </c>
      <c r="K1405" s="1" t="s">
        <v>1860</v>
      </c>
      <c r="L1405" s="1" t="s">
        <v>28</v>
      </c>
      <c r="M1405">
        <f t="shared" si="147"/>
        <v>200</v>
      </c>
      <c r="N1405" t="str">
        <f t="shared" si="148"/>
        <v>1963-03-27</v>
      </c>
      <c r="O1405">
        <f t="shared" si="149"/>
        <v>49</v>
      </c>
      <c r="P1405" t="str">
        <f t="shared" si="150"/>
        <v>mężczyzna</v>
      </c>
      <c r="Q1405">
        <f t="shared" si="151"/>
        <v>346</v>
      </c>
      <c r="R1405">
        <f t="shared" si="152"/>
        <v>48</v>
      </c>
      <c r="S1405">
        <f t="shared" ca="1" si="153"/>
        <v>5150</v>
      </c>
    </row>
    <row r="1406" spans="1:19">
      <c r="A1406" s="1" t="s">
        <v>12</v>
      </c>
      <c r="B1406" s="2">
        <v>400</v>
      </c>
      <c r="C1406" s="1">
        <v>400</v>
      </c>
      <c r="D1406" s="1" t="s">
        <v>2733</v>
      </c>
      <c r="E1406" s="1">
        <v>11</v>
      </c>
      <c r="F1406" s="3">
        <v>2636</v>
      </c>
      <c r="G1406" s="1">
        <v>0</v>
      </c>
      <c r="H1406" s="1" t="s">
        <v>2734</v>
      </c>
      <c r="I1406" s="1" t="s">
        <v>2735</v>
      </c>
      <c r="J1406" s="1" t="s">
        <v>16</v>
      </c>
      <c r="K1406" s="1" t="s">
        <v>1860</v>
      </c>
      <c r="L1406" s="1" t="s">
        <v>2604</v>
      </c>
      <c r="M1406">
        <f t="shared" si="147"/>
        <v>400</v>
      </c>
      <c r="N1406" t="str">
        <f t="shared" si="148"/>
        <v>1969-06-13</v>
      </c>
      <c r="O1406">
        <f t="shared" si="149"/>
        <v>43</v>
      </c>
      <c r="P1406" t="str">
        <f t="shared" si="150"/>
        <v>mężczyzna</v>
      </c>
      <c r="Q1406">
        <f t="shared" si="151"/>
        <v>47</v>
      </c>
      <c r="R1406">
        <f t="shared" si="152"/>
        <v>48</v>
      </c>
      <c r="S1406">
        <f t="shared" ca="1" si="153"/>
        <v>0</v>
      </c>
    </row>
    <row r="1407" spans="1:19">
      <c r="A1407" s="1" t="s">
        <v>12</v>
      </c>
      <c r="B1407" s="2">
        <v>392.6</v>
      </c>
      <c r="C1407" s="1">
        <v>392.6</v>
      </c>
      <c r="D1407" s="1" t="s">
        <v>461</v>
      </c>
      <c r="E1407" s="1">
        <v>11</v>
      </c>
      <c r="F1407" s="3">
        <v>2368.5700000000002</v>
      </c>
      <c r="G1407" s="1">
        <v>1</v>
      </c>
      <c r="H1407" s="1" t="s">
        <v>2736</v>
      </c>
      <c r="I1407" s="1" t="s">
        <v>463</v>
      </c>
      <c r="J1407" s="1" t="s">
        <v>16</v>
      </c>
      <c r="K1407" s="1" t="s">
        <v>1860</v>
      </c>
      <c r="L1407" s="1" t="s">
        <v>2737</v>
      </c>
      <c r="M1407">
        <f t="shared" si="147"/>
        <v>392.6</v>
      </c>
      <c r="N1407" t="str">
        <f t="shared" si="148"/>
        <v>1957-10-12</v>
      </c>
      <c r="O1407">
        <f t="shared" si="149"/>
        <v>55</v>
      </c>
      <c r="P1407" t="str">
        <f t="shared" si="150"/>
        <v>kobieta</v>
      </c>
      <c r="Q1407">
        <f t="shared" si="151"/>
        <v>414</v>
      </c>
      <c r="R1407">
        <f t="shared" si="152"/>
        <v>48</v>
      </c>
      <c r="S1407">
        <f t="shared" ca="1" si="153"/>
        <v>172</v>
      </c>
    </row>
    <row r="1408" spans="1:19">
      <c r="A1408" s="1" t="s">
        <v>24</v>
      </c>
      <c r="B1408" s="2">
        <v>800</v>
      </c>
      <c r="C1408" s="1">
        <v>0</v>
      </c>
      <c r="D1408" s="1" t="s">
        <v>571</v>
      </c>
      <c r="E1408" s="1">
        <v>13</v>
      </c>
      <c r="F1408" s="3">
        <v>2112</v>
      </c>
      <c r="G1408" s="1">
        <v>0</v>
      </c>
      <c r="H1408" s="1" t="s">
        <v>2738</v>
      </c>
      <c r="I1408" s="1" t="s">
        <v>383</v>
      </c>
      <c r="J1408" s="1" t="s">
        <v>16</v>
      </c>
      <c r="K1408" s="1" t="s">
        <v>16</v>
      </c>
      <c r="L1408" s="1" t="s">
        <v>28</v>
      </c>
      <c r="M1408">
        <f t="shared" si="147"/>
        <v>800</v>
      </c>
      <c r="N1408" t="str">
        <f t="shared" si="148"/>
        <v>1938-12-21</v>
      </c>
      <c r="O1408">
        <f t="shared" si="149"/>
        <v>74</v>
      </c>
      <c r="P1408" t="str">
        <f t="shared" si="150"/>
        <v>mężczyzna</v>
      </c>
      <c r="Q1408">
        <f t="shared" si="151"/>
        <v>109</v>
      </c>
      <c r="R1408">
        <f t="shared" si="152"/>
        <v>48</v>
      </c>
      <c r="S1408">
        <f t="shared" ca="1" si="153"/>
        <v>0</v>
      </c>
    </row>
    <row r="1409" spans="1:19">
      <c r="A1409" s="1" t="s">
        <v>19</v>
      </c>
      <c r="B1409" s="2">
        <v>300</v>
      </c>
      <c r="C1409" s="1">
        <v>300</v>
      </c>
      <c r="D1409" s="1" t="s">
        <v>143</v>
      </c>
      <c r="E1409" s="1">
        <v>13</v>
      </c>
      <c r="F1409" s="3">
        <v>3900</v>
      </c>
      <c r="G1409" s="1">
        <v>9</v>
      </c>
      <c r="H1409" s="1" t="s">
        <v>2739</v>
      </c>
      <c r="I1409" s="1" t="s">
        <v>145</v>
      </c>
      <c r="J1409" s="1" t="s">
        <v>16</v>
      </c>
      <c r="K1409" s="1" t="s">
        <v>1860</v>
      </c>
      <c r="L1409" s="1" t="s">
        <v>2730</v>
      </c>
      <c r="M1409">
        <f t="shared" si="147"/>
        <v>300</v>
      </c>
      <c r="N1409" t="str">
        <f t="shared" si="148"/>
        <v>1962-11-23</v>
      </c>
      <c r="O1409">
        <f t="shared" si="149"/>
        <v>50</v>
      </c>
      <c r="P1409" t="str">
        <f t="shared" si="150"/>
        <v>mężczyzna</v>
      </c>
      <c r="Q1409">
        <f t="shared" si="151"/>
        <v>34</v>
      </c>
      <c r="R1409">
        <f t="shared" si="152"/>
        <v>48</v>
      </c>
      <c r="S1409">
        <f t="shared" ca="1" si="153"/>
        <v>4</v>
      </c>
    </row>
    <row r="1410" spans="1:19">
      <c r="A1410" s="1" t="s">
        <v>12</v>
      </c>
      <c r="B1410" s="2">
        <v>500</v>
      </c>
      <c r="C1410" s="1">
        <v>500</v>
      </c>
      <c r="D1410" s="1" t="s">
        <v>2310</v>
      </c>
      <c r="E1410" s="1">
        <v>12</v>
      </c>
      <c r="F1410" s="3">
        <v>1700</v>
      </c>
      <c r="G1410" s="1">
        <v>0</v>
      </c>
      <c r="H1410" s="1" t="s">
        <v>2740</v>
      </c>
      <c r="I1410" s="1" t="s">
        <v>1180</v>
      </c>
      <c r="J1410" s="1" t="s">
        <v>2312</v>
      </c>
      <c r="K1410" s="1" t="s">
        <v>1860</v>
      </c>
      <c r="L1410" s="1" t="s">
        <v>2737</v>
      </c>
      <c r="M1410">
        <f t="shared" si="147"/>
        <v>500</v>
      </c>
      <c r="N1410" t="str">
        <f t="shared" si="148"/>
        <v>1981-02-11</v>
      </c>
      <c r="O1410">
        <f t="shared" si="149"/>
        <v>31</v>
      </c>
      <c r="P1410" t="str">
        <f t="shared" si="150"/>
        <v>mężczyzna</v>
      </c>
      <c r="Q1410">
        <f t="shared" si="151"/>
        <v>1</v>
      </c>
      <c r="R1410">
        <f t="shared" si="152"/>
        <v>48</v>
      </c>
      <c r="S1410">
        <f t="shared" ca="1" si="153"/>
        <v>172</v>
      </c>
    </row>
    <row r="1411" spans="1:19">
      <c r="A1411" s="1" t="s">
        <v>56</v>
      </c>
      <c r="B1411" s="2">
        <v>293.42</v>
      </c>
      <c r="C1411" s="1">
        <v>293.42</v>
      </c>
      <c r="D1411" s="1" t="s">
        <v>1632</v>
      </c>
      <c r="E1411" s="1">
        <v>12</v>
      </c>
      <c r="F1411" s="3">
        <v>1896</v>
      </c>
      <c r="G1411" s="1">
        <v>2</v>
      </c>
      <c r="H1411" s="1" t="s">
        <v>2741</v>
      </c>
      <c r="I1411" s="1" t="s">
        <v>1634</v>
      </c>
      <c r="J1411" s="1" t="s">
        <v>246</v>
      </c>
      <c r="K1411" s="1" t="s">
        <v>1860</v>
      </c>
      <c r="L1411" s="1" t="s">
        <v>28</v>
      </c>
      <c r="M1411">
        <f t="shared" ref="M1411:M1474" si="154">IF(A1411="odmowa", B1411,C1411)</f>
        <v>293.42</v>
      </c>
      <c r="N1411" t="str">
        <f t="shared" ref="N1411:N1474" si="155">CONCATENATE("19", MID(D1411, 1, 2), "-", MID(D1411, 3, 2), "-", MID(D1411, 5, 2))</f>
        <v>1971-12-26</v>
      </c>
      <c r="O1411">
        <f t="shared" ref="O1411:O1474" si="156">YEAR(H1411) - YEAR(N1411)</f>
        <v>41</v>
      </c>
      <c r="P1411" t="str">
        <f t="shared" ref="P1411:P1474" si="157">IF(MOD(MID(D1411, 10, 1), 2)=0, "kobieta", "mężczyzna")</f>
        <v>kobieta</v>
      </c>
      <c r="Q1411">
        <f t="shared" ref="Q1411:Q1474" si="158">(YEAR(H1411) - YEAR(I1411)) * 12 + MONTH(H1411) - MONTH(I1411)</f>
        <v>17</v>
      </c>
      <c r="R1411">
        <f t="shared" ref="R1411:R1474" si="159">IF(LEFT(J1411, 4)="0000", 48, MIN(48, (YEAR(J1411) - YEAR(H1411)) * 12 + MONTH(J1411) - MONTH(H1411)))</f>
        <v>1</v>
      </c>
      <c r="S1411">
        <f t="shared" ref="S1411:S1474" ca="1" si="160">IF(LEFT(K1411, 4)="0000", 0, IF(LEFT(L1411, 4)="0000", MAX(0, TODAY() - K1411), MAX(0, L1411 - K1411)))</f>
        <v>5150</v>
      </c>
    </row>
    <row r="1412" spans="1:19">
      <c r="A1412" s="1" t="s">
        <v>19</v>
      </c>
      <c r="B1412" s="2">
        <v>325.58</v>
      </c>
      <c r="C1412" s="1">
        <v>325.58</v>
      </c>
      <c r="D1412" s="1" t="s">
        <v>1467</v>
      </c>
      <c r="E1412" s="1">
        <v>11</v>
      </c>
      <c r="F1412" s="3">
        <v>2065.98</v>
      </c>
      <c r="G1412" s="1">
        <v>1</v>
      </c>
      <c r="H1412" s="1" t="s">
        <v>2742</v>
      </c>
      <c r="I1412" s="1" t="s">
        <v>1469</v>
      </c>
      <c r="J1412" s="1" t="s">
        <v>16</v>
      </c>
      <c r="K1412" s="1" t="s">
        <v>1860</v>
      </c>
      <c r="L1412" s="1" t="s">
        <v>2743</v>
      </c>
      <c r="M1412">
        <f t="shared" si="154"/>
        <v>325.58</v>
      </c>
      <c r="N1412" t="str">
        <f t="shared" si="155"/>
        <v>1959-10-17</v>
      </c>
      <c r="O1412">
        <f t="shared" si="156"/>
        <v>53</v>
      </c>
      <c r="P1412" t="str">
        <f t="shared" si="157"/>
        <v>kobieta</v>
      </c>
      <c r="Q1412">
        <f t="shared" si="158"/>
        <v>183</v>
      </c>
      <c r="R1412">
        <f t="shared" si="159"/>
        <v>48</v>
      </c>
      <c r="S1412">
        <f t="shared" ca="1" si="160"/>
        <v>8</v>
      </c>
    </row>
    <row r="1413" spans="1:19">
      <c r="A1413" s="1" t="s">
        <v>19</v>
      </c>
      <c r="B1413" s="2">
        <v>202.28</v>
      </c>
      <c r="C1413" s="1">
        <v>202.28</v>
      </c>
      <c r="D1413" s="1" t="s">
        <v>115</v>
      </c>
      <c r="E1413" s="1">
        <v>11</v>
      </c>
      <c r="F1413" s="3">
        <v>3000</v>
      </c>
      <c r="G1413" s="1">
        <v>9</v>
      </c>
      <c r="H1413" s="1" t="s">
        <v>2744</v>
      </c>
      <c r="I1413" s="1" t="s">
        <v>117</v>
      </c>
      <c r="J1413" s="1" t="s">
        <v>16</v>
      </c>
      <c r="K1413" s="1" t="s">
        <v>1860</v>
      </c>
      <c r="L1413" s="1" t="s">
        <v>2570</v>
      </c>
      <c r="M1413">
        <f t="shared" si="154"/>
        <v>202.28</v>
      </c>
      <c r="N1413" t="str">
        <f t="shared" si="155"/>
        <v>1951-04-15</v>
      </c>
      <c r="O1413">
        <f t="shared" si="156"/>
        <v>61</v>
      </c>
      <c r="P1413" t="str">
        <f t="shared" si="157"/>
        <v>mężczyzna</v>
      </c>
      <c r="Q1413">
        <f t="shared" si="158"/>
        <v>216</v>
      </c>
      <c r="R1413">
        <f t="shared" si="159"/>
        <v>48</v>
      </c>
      <c r="S1413">
        <f t="shared" ca="1" si="160"/>
        <v>0</v>
      </c>
    </row>
    <row r="1414" spans="1:19">
      <c r="A1414" s="1" t="s">
        <v>19</v>
      </c>
      <c r="B1414" s="2">
        <v>205.44</v>
      </c>
      <c r="C1414" s="1">
        <v>205.44</v>
      </c>
      <c r="D1414" s="1" t="s">
        <v>146</v>
      </c>
      <c r="E1414" s="1">
        <v>13</v>
      </c>
      <c r="F1414" s="3">
        <v>1350</v>
      </c>
      <c r="G1414" s="1">
        <v>7</v>
      </c>
      <c r="H1414" s="1" t="s">
        <v>2745</v>
      </c>
      <c r="I1414" s="1" t="s">
        <v>148</v>
      </c>
      <c r="J1414" s="1" t="s">
        <v>16</v>
      </c>
      <c r="K1414" s="1" t="s">
        <v>1860</v>
      </c>
      <c r="L1414" s="1" t="s">
        <v>2637</v>
      </c>
      <c r="M1414">
        <f t="shared" si="154"/>
        <v>205.44</v>
      </c>
      <c r="N1414" t="str">
        <f t="shared" si="155"/>
        <v>1946-02-12</v>
      </c>
      <c r="O1414">
        <f t="shared" si="156"/>
        <v>66</v>
      </c>
      <c r="P1414" t="str">
        <f t="shared" si="157"/>
        <v>kobieta</v>
      </c>
      <c r="Q1414">
        <f t="shared" si="158"/>
        <v>115</v>
      </c>
      <c r="R1414">
        <f t="shared" si="159"/>
        <v>48</v>
      </c>
      <c r="S1414">
        <f t="shared" ca="1" si="160"/>
        <v>0</v>
      </c>
    </row>
    <row r="1415" spans="1:19">
      <c r="A1415" s="1" t="s">
        <v>19</v>
      </c>
      <c r="B1415" s="2">
        <v>350</v>
      </c>
      <c r="C1415" s="1">
        <v>350</v>
      </c>
      <c r="D1415" s="1" t="s">
        <v>253</v>
      </c>
      <c r="E1415" s="1">
        <v>12</v>
      </c>
      <c r="F1415" s="3">
        <v>1700</v>
      </c>
      <c r="G1415" s="1">
        <v>9</v>
      </c>
      <c r="H1415" s="1" t="s">
        <v>2746</v>
      </c>
      <c r="I1415" s="1" t="s">
        <v>255</v>
      </c>
      <c r="J1415" s="1" t="s">
        <v>2212</v>
      </c>
      <c r="K1415" s="1" t="s">
        <v>1860</v>
      </c>
      <c r="L1415" s="1" t="s">
        <v>2606</v>
      </c>
      <c r="M1415">
        <f t="shared" si="154"/>
        <v>350</v>
      </c>
      <c r="N1415" t="str">
        <f t="shared" si="155"/>
        <v>1957-06-27</v>
      </c>
      <c r="O1415">
        <f t="shared" si="156"/>
        <v>55</v>
      </c>
      <c r="P1415" t="str">
        <f t="shared" si="157"/>
        <v>kobieta</v>
      </c>
      <c r="Q1415">
        <f t="shared" si="158"/>
        <v>59</v>
      </c>
      <c r="R1415">
        <f t="shared" si="159"/>
        <v>10</v>
      </c>
      <c r="S1415">
        <f t="shared" ca="1" si="160"/>
        <v>0</v>
      </c>
    </row>
    <row r="1416" spans="1:19">
      <c r="A1416" s="1" t="s">
        <v>56</v>
      </c>
      <c r="B1416" s="2">
        <v>500</v>
      </c>
      <c r="C1416" s="1">
        <v>400</v>
      </c>
      <c r="D1416" s="1" t="s">
        <v>1794</v>
      </c>
      <c r="E1416" s="1">
        <v>11</v>
      </c>
      <c r="F1416" s="3">
        <v>1228</v>
      </c>
      <c r="G1416" s="1">
        <v>0</v>
      </c>
      <c r="H1416" s="1" t="s">
        <v>2747</v>
      </c>
      <c r="I1416" s="1" t="s">
        <v>1796</v>
      </c>
      <c r="J1416" s="1" t="s">
        <v>16</v>
      </c>
      <c r="K1416" s="1" t="s">
        <v>1860</v>
      </c>
      <c r="L1416" s="1" t="s">
        <v>28</v>
      </c>
      <c r="M1416">
        <f t="shared" si="154"/>
        <v>400</v>
      </c>
      <c r="N1416" t="str">
        <f t="shared" si="155"/>
        <v>1975-08-21</v>
      </c>
      <c r="O1416">
        <f t="shared" si="156"/>
        <v>37</v>
      </c>
      <c r="P1416" t="str">
        <f t="shared" si="157"/>
        <v>kobieta</v>
      </c>
      <c r="Q1416">
        <f t="shared" si="158"/>
        <v>38</v>
      </c>
      <c r="R1416">
        <f t="shared" si="159"/>
        <v>48</v>
      </c>
      <c r="S1416">
        <f t="shared" ca="1" si="160"/>
        <v>5150</v>
      </c>
    </row>
    <row r="1417" spans="1:19">
      <c r="A1417" s="1" t="s">
        <v>19</v>
      </c>
      <c r="B1417" s="2">
        <v>550</v>
      </c>
      <c r="C1417" s="1">
        <v>550</v>
      </c>
      <c r="D1417" s="1" t="s">
        <v>1017</v>
      </c>
      <c r="E1417" s="1">
        <v>12</v>
      </c>
      <c r="F1417" s="3">
        <v>1675</v>
      </c>
      <c r="G1417" s="1">
        <v>8</v>
      </c>
      <c r="H1417" s="1" t="s">
        <v>2748</v>
      </c>
      <c r="I1417" s="1" t="s">
        <v>717</v>
      </c>
      <c r="J1417" s="1" t="s">
        <v>2429</v>
      </c>
      <c r="K1417" s="1" t="s">
        <v>1860</v>
      </c>
      <c r="L1417" s="1" t="s">
        <v>2730</v>
      </c>
      <c r="M1417">
        <f t="shared" si="154"/>
        <v>550</v>
      </c>
      <c r="N1417" t="str">
        <f t="shared" si="155"/>
        <v>1957-09-29</v>
      </c>
      <c r="O1417">
        <f t="shared" si="156"/>
        <v>55</v>
      </c>
      <c r="P1417" t="str">
        <f t="shared" si="157"/>
        <v>kobieta</v>
      </c>
      <c r="Q1417">
        <f t="shared" si="158"/>
        <v>13</v>
      </c>
      <c r="R1417">
        <f t="shared" si="159"/>
        <v>0</v>
      </c>
      <c r="S1417">
        <f t="shared" ca="1" si="160"/>
        <v>4</v>
      </c>
    </row>
    <row r="1418" spans="1:19">
      <c r="A1418" s="1" t="s">
        <v>12</v>
      </c>
      <c r="B1418" s="2">
        <v>600</v>
      </c>
      <c r="C1418" s="1">
        <v>500</v>
      </c>
      <c r="D1418" s="1" t="s">
        <v>2749</v>
      </c>
      <c r="E1418" s="1">
        <v>11</v>
      </c>
      <c r="F1418" s="3">
        <v>2000</v>
      </c>
      <c r="G1418" s="1">
        <v>0</v>
      </c>
      <c r="H1418" s="1" t="s">
        <v>2750</v>
      </c>
      <c r="I1418" s="1" t="s">
        <v>2751</v>
      </c>
      <c r="J1418" s="1" t="s">
        <v>16</v>
      </c>
      <c r="K1418" s="1" t="s">
        <v>2752</v>
      </c>
      <c r="L1418" s="1" t="s">
        <v>2421</v>
      </c>
      <c r="M1418">
        <f t="shared" si="154"/>
        <v>500</v>
      </c>
      <c r="N1418" t="str">
        <f t="shared" si="155"/>
        <v>1987-09-02</v>
      </c>
      <c r="O1418">
        <f t="shared" si="156"/>
        <v>25</v>
      </c>
      <c r="P1418" t="str">
        <f t="shared" si="157"/>
        <v>mężczyzna</v>
      </c>
      <c r="Q1418">
        <f t="shared" si="158"/>
        <v>41</v>
      </c>
      <c r="R1418">
        <f t="shared" si="159"/>
        <v>48</v>
      </c>
      <c r="S1418">
        <f t="shared" ca="1" si="160"/>
        <v>0</v>
      </c>
    </row>
    <row r="1419" spans="1:19">
      <c r="A1419" s="1" t="s">
        <v>24</v>
      </c>
      <c r="B1419" s="2">
        <v>300</v>
      </c>
      <c r="C1419" s="1">
        <v>0</v>
      </c>
      <c r="D1419" s="1" t="s">
        <v>2753</v>
      </c>
      <c r="E1419" s="1">
        <v>12</v>
      </c>
      <c r="F1419" s="3">
        <v>1200</v>
      </c>
      <c r="G1419" s="1">
        <v>0</v>
      </c>
      <c r="H1419" s="1" t="s">
        <v>2754</v>
      </c>
      <c r="I1419" s="1" t="s">
        <v>916</v>
      </c>
      <c r="J1419" s="1" t="s">
        <v>129</v>
      </c>
      <c r="K1419" s="1" t="s">
        <v>16</v>
      </c>
      <c r="L1419" s="1" t="s">
        <v>28</v>
      </c>
      <c r="M1419">
        <f t="shared" si="154"/>
        <v>300</v>
      </c>
      <c r="N1419" t="str">
        <f t="shared" si="155"/>
        <v>1961-03-04</v>
      </c>
      <c r="O1419">
        <f t="shared" si="156"/>
        <v>51</v>
      </c>
      <c r="P1419" t="str">
        <f t="shared" si="157"/>
        <v>kobieta</v>
      </c>
      <c r="Q1419">
        <f t="shared" si="158"/>
        <v>61</v>
      </c>
      <c r="R1419">
        <f t="shared" si="159"/>
        <v>22</v>
      </c>
      <c r="S1419">
        <f t="shared" ca="1" si="160"/>
        <v>0</v>
      </c>
    </row>
    <row r="1420" spans="1:19">
      <c r="A1420" s="1" t="s">
        <v>19</v>
      </c>
      <c r="B1420" s="2">
        <v>300</v>
      </c>
      <c r="C1420" s="1">
        <v>300</v>
      </c>
      <c r="D1420" s="1" t="s">
        <v>481</v>
      </c>
      <c r="E1420" s="1">
        <v>13</v>
      </c>
      <c r="F1420" s="3">
        <v>810</v>
      </c>
      <c r="G1420" s="1">
        <v>9</v>
      </c>
      <c r="H1420" s="1" t="s">
        <v>2755</v>
      </c>
      <c r="I1420" s="1" t="s">
        <v>483</v>
      </c>
      <c r="J1420" s="1" t="s">
        <v>16</v>
      </c>
      <c r="K1420" s="1" t="s">
        <v>2752</v>
      </c>
      <c r="L1420" s="1" t="s">
        <v>2637</v>
      </c>
      <c r="M1420">
        <f t="shared" si="154"/>
        <v>300</v>
      </c>
      <c r="N1420" t="str">
        <f t="shared" si="155"/>
        <v>1951-03-09</v>
      </c>
      <c r="O1420">
        <f t="shared" si="156"/>
        <v>61</v>
      </c>
      <c r="P1420" t="str">
        <f t="shared" si="157"/>
        <v>kobieta</v>
      </c>
      <c r="Q1420">
        <f t="shared" si="158"/>
        <v>37</v>
      </c>
      <c r="R1420">
        <f t="shared" si="159"/>
        <v>48</v>
      </c>
      <c r="S1420">
        <f t="shared" ca="1" si="160"/>
        <v>0</v>
      </c>
    </row>
    <row r="1421" spans="1:19">
      <c r="A1421" s="1" t="s">
        <v>12</v>
      </c>
      <c r="B1421" s="2">
        <v>200</v>
      </c>
      <c r="C1421" s="1">
        <v>200</v>
      </c>
      <c r="D1421" s="1" t="s">
        <v>1068</v>
      </c>
      <c r="E1421" s="1">
        <v>13</v>
      </c>
      <c r="F1421" s="3">
        <v>1213</v>
      </c>
      <c r="G1421" s="1">
        <v>0</v>
      </c>
      <c r="H1421" s="1" t="s">
        <v>2756</v>
      </c>
      <c r="I1421" s="1" t="s">
        <v>1070</v>
      </c>
      <c r="J1421" s="1" t="s">
        <v>16</v>
      </c>
      <c r="K1421" s="1" t="s">
        <v>2752</v>
      </c>
      <c r="L1421" s="1" t="s">
        <v>2743</v>
      </c>
      <c r="M1421">
        <f t="shared" si="154"/>
        <v>200</v>
      </c>
      <c r="N1421" t="str">
        <f t="shared" si="155"/>
        <v>1958-08-05</v>
      </c>
      <c r="O1421">
        <f t="shared" si="156"/>
        <v>54</v>
      </c>
      <c r="P1421" t="str">
        <f t="shared" si="157"/>
        <v>kobieta</v>
      </c>
      <c r="Q1421">
        <f t="shared" si="158"/>
        <v>54</v>
      </c>
      <c r="R1421">
        <f t="shared" si="159"/>
        <v>48</v>
      </c>
      <c r="S1421">
        <f t="shared" ca="1" si="160"/>
        <v>7</v>
      </c>
    </row>
    <row r="1422" spans="1:19">
      <c r="A1422" s="1" t="s">
        <v>19</v>
      </c>
      <c r="B1422" s="2">
        <v>600</v>
      </c>
      <c r="C1422" s="1">
        <v>600</v>
      </c>
      <c r="D1422" s="1" t="s">
        <v>1247</v>
      </c>
      <c r="E1422" s="1">
        <v>12</v>
      </c>
      <c r="F1422" s="3">
        <v>3500</v>
      </c>
      <c r="G1422" s="1">
        <v>3</v>
      </c>
      <c r="H1422" s="1" t="s">
        <v>2757</v>
      </c>
      <c r="I1422" s="1" t="s">
        <v>1249</v>
      </c>
      <c r="J1422" s="1" t="s">
        <v>1250</v>
      </c>
      <c r="K1422" s="1" t="s">
        <v>2752</v>
      </c>
      <c r="L1422" s="1" t="s">
        <v>2133</v>
      </c>
      <c r="M1422">
        <f t="shared" si="154"/>
        <v>600</v>
      </c>
      <c r="N1422" t="str">
        <f t="shared" si="155"/>
        <v>1966-03-25</v>
      </c>
      <c r="O1422">
        <f t="shared" si="156"/>
        <v>46</v>
      </c>
      <c r="P1422" t="str">
        <f t="shared" si="157"/>
        <v>mężczyzna</v>
      </c>
      <c r="Q1422">
        <f t="shared" si="158"/>
        <v>191</v>
      </c>
      <c r="R1422">
        <f t="shared" si="159"/>
        <v>25</v>
      </c>
      <c r="S1422">
        <f t="shared" ca="1" si="160"/>
        <v>0</v>
      </c>
    </row>
    <row r="1423" spans="1:19">
      <c r="A1423" s="1" t="s">
        <v>19</v>
      </c>
      <c r="B1423" s="2">
        <v>500</v>
      </c>
      <c r="C1423" s="1">
        <v>500</v>
      </c>
      <c r="D1423" s="1" t="s">
        <v>1230</v>
      </c>
      <c r="E1423" s="1">
        <v>13</v>
      </c>
      <c r="F1423" s="3">
        <v>864.34</v>
      </c>
      <c r="G1423" s="1">
        <v>3</v>
      </c>
      <c r="H1423" s="1" t="s">
        <v>2758</v>
      </c>
      <c r="I1423" s="1" t="s">
        <v>1232</v>
      </c>
      <c r="J1423" s="1" t="s">
        <v>16</v>
      </c>
      <c r="K1423" s="1" t="s">
        <v>2752</v>
      </c>
      <c r="L1423" s="1" t="s">
        <v>2133</v>
      </c>
      <c r="M1423">
        <f t="shared" si="154"/>
        <v>500</v>
      </c>
      <c r="N1423" t="str">
        <f t="shared" si="155"/>
        <v>1964-05-19</v>
      </c>
      <c r="O1423">
        <f t="shared" si="156"/>
        <v>48</v>
      </c>
      <c r="P1423" t="str">
        <f t="shared" si="157"/>
        <v>mężczyzna</v>
      </c>
      <c r="Q1423">
        <f t="shared" si="158"/>
        <v>160</v>
      </c>
      <c r="R1423">
        <f t="shared" si="159"/>
        <v>48</v>
      </c>
      <c r="S1423">
        <f t="shared" ca="1" si="160"/>
        <v>0</v>
      </c>
    </row>
    <row r="1424" spans="1:19">
      <c r="A1424" s="1" t="s">
        <v>56</v>
      </c>
      <c r="B1424" s="2">
        <v>400</v>
      </c>
      <c r="C1424" s="1">
        <v>400</v>
      </c>
      <c r="D1424" s="1" t="s">
        <v>892</v>
      </c>
      <c r="E1424" s="1">
        <v>13</v>
      </c>
      <c r="F1424" s="3">
        <v>917</v>
      </c>
      <c r="G1424" s="1">
        <v>2</v>
      </c>
      <c r="H1424" s="1" t="s">
        <v>2759</v>
      </c>
      <c r="I1424" s="1" t="s">
        <v>894</v>
      </c>
      <c r="J1424" s="1" t="s">
        <v>16</v>
      </c>
      <c r="K1424" s="1" t="s">
        <v>2752</v>
      </c>
      <c r="L1424" s="1" t="s">
        <v>28</v>
      </c>
      <c r="M1424">
        <f t="shared" si="154"/>
        <v>400</v>
      </c>
      <c r="N1424" t="str">
        <f t="shared" si="155"/>
        <v>1948-09-19</v>
      </c>
      <c r="O1424">
        <f t="shared" si="156"/>
        <v>64</v>
      </c>
      <c r="P1424" t="str">
        <f t="shared" si="157"/>
        <v>kobieta</v>
      </c>
      <c r="Q1424">
        <f t="shared" si="158"/>
        <v>80</v>
      </c>
      <c r="R1424">
        <f t="shared" si="159"/>
        <v>48</v>
      </c>
      <c r="S1424">
        <f t="shared" ca="1" si="160"/>
        <v>5149</v>
      </c>
    </row>
    <row r="1425" spans="1:19">
      <c r="A1425" s="1" t="s">
        <v>24</v>
      </c>
      <c r="B1425" s="2">
        <v>600</v>
      </c>
      <c r="C1425" s="1">
        <v>0</v>
      </c>
      <c r="D1425" s="1" t="s">
        <v>2760</v>
      </c>
      <c r="E1425" s="1">
        <v>13</v>
      </c>
      <c r="F1425" s="3">
        <v>722</v>
      </c>
      <c r="G1425" s="1">
        <v>0</v>
      </c>
      <c r="H1425" s="1" t="s">
        <v>2761</v>
      </c>
      <c r="I1425" s="1" t="s">
        <v>2762</v>
      </c>
      <c r="J1425" s="1" t="s">
        <v>16</v>
      </c>
      <c r="K1425" s="1" t="s">
        <v>16</v>
      </c>
      <c r="L1425" s="1" t="s">
        <v>28</v>
      </c>
      <c r="M1425">
        <f t="shared" si="154"/>
        <v>600</v>
      </c>
      <c r="N1425" t="str">
        <f t="shared" si="155"/>
        <v>1939-04-08</v>
      </c>
      <c r="O1425">
        <f t="shared" si="156"/>
        <v>73</v>
      </c>
      <c r="P1425" t="str">
        <f t="shared" si="157"/>
        <v>kobieta</v>
      </c>
      <c r="Q1425">
        <f t="shared" si="158"/>
        <v>214</v>
      </c>
      <c r="R1425">
        <f t="shared" si="159"/>
        <v>48</v>
      </c>
      <c r="S1425">
        <f t="shared" ca="1" si="160"/>
        <v>0</v>
      </c>
    </row>
    <row r="1426" spans="1:19">
      <c r="A1426" s="1" t="s">
        <v>56</v>
      </c>
      <c r="B1426" s="2">
        <v>1000</v>
      </c>
      <c r="C1426" s="1">
        <v>600</v>
      </c>
      <c r="D1426" s="1" t="s">
        <v>2763</v>
      </c>
      <c r="E1426" s="1">
        <v>99</v>
      </c>
      <c r="F1426" s="3">
        <v>2880</v>
      </c>
      <c r="G1426" s="1">
        <v>0</v>
      </c>
      <c r="H1426" s="1" t="s">
        <v>2764</v>
      </c>
      <c r="I1426" s="1" t="s">
        <v>1384</v>
      </c>
      <c r="J1426" s="1" t="s">
        <v>2108</v>
      </c>
      <c r="K1426" s="1" t="s">
        <v>2752</v>
      </c>
      <c r="L1426" s="1" t="s">
        <v>28</v>
      </c>
      <c r="M1426">
        <f t="shared" si="154"/>
        <v>600</v>
      </c>
      <c r="N1426" t="str">
        <f t="shared" si="155"/>
        <v>1976-09-05</v>
      </c>
      <c r="O1426">
        <f t="shared" si="156"/>
        <v>36</v>
      </c>
      <c r="P1426" t="str">
        <f t="shared" si="157"/>
        <v>mężczyzna</v>
      </c>
      <c r="Q1426">
        <f t="shared" si="158"/>
        <v>2</v>
      </c>
      <c r="R1426">
        <f t="shared" si="159"/>
        <v>10</v>
      </c>
      <c r="S1426">
        <f t="shared" ca="1" si="160"/>
        <v>5149</v>
      </c>
    </row>
    <row r="1427" spans="1:19">
      <c r="A1427" s="1" t="s">
        <v>12</v>
      </c>
      <c r="B1427" s="2">
        <v>237.94</v>
      </c>
      <c r="C1427" s="1">
        <v>237.94</v>
      </c>
      <c r="D1427" s="1" t="s">
        <v>952</v>
      </c>
      <c r="E1427" s="1">
        <v>13</v>
      </c>
      <c r="F1427" s="3">
        <v>840</v>
      </c>
      <c r="G1427" s="1">
        <v>6</v>
      </c>
      <c r="H1427" s="1" t="s">
        <v>2765</v>
      </c>
      <c r="I1427" s="1" t="s">
        <v>951</v>
      </c>
      <c r="J1427" s="1" t="s">
        <v>16</v>
      </c>
      <c r="K1427" s="1" t="s">
        <v>2752</v>
      </c>
      <c r="L1427" s="1" t="s">
        <v>2476</v>
      </c>
      <c r="M1427">
        <f t="shared" si="154"/>
        <v>237.94</v>
      </c>
      <c r="N1427" t="str">
        <f t="shared" si="155"/>
        <v>1947-03-19</v>
      </c>
      <c r="O1427">
        <f t="shared" si="156"/>
        <v>65</v>
      </c>
      <c r="P1427" t="str">
        <f t="shared" si="157"/>
        <v>kobieta</v>
      </c>
      <c r="Q1427">
        <f t="shared" si="158"/>
        <v>117</v>
      </c>
      <c r="R1427">
        <f t="shared" si="159"/>
        <v>48</v>
      </c>
      <c r="S1427">
        <f t="shared" ca="1" si="160"/>
        <v>4</v>
      </c>
    </row>
    <row r="1428" spans="1:19">
      <c r="A1428" s="1" t="s">
        <v>12</v>
      </c>
      <c r="B1428" s="2">
        <v>227.88</v>
      </c>
      <c r="C1428" s="1">
        <v>227.88</v>
      </c>
      <c r="D1428" s="1" t="s">
        <v>1031</v>
      </c>
      <c r="E1428" s="1">
        <v>12</v>
      </c>
      <c r="F1428" s="3">
        <v>1100</v>
      </c>
      <c r="G1428" s="1">
        <v>8</v>
      </c>
      <c r="H1428" s="1" t="s">
        <v>2766</v>
      </c>
      <c r="I1428" s="1" t="s">
        <v>1033</v>
      </c>
      <c r="J1428" s="1" t="s">
        <v>1034</v>
      </c>
      <c r="K1428" s="1" t="s">
        <v>2752</v>
      </c>
      <c r="L1428" s="1" t="s">
        <v>2119</v>
      </c>
      <c r="M1428">
        <f t="shared" si="154"/>
        <v>227.88</v>
      </c>
      <c r="N1428" t="str">
        <f t="shared" si="155"/>
        <v>1946-12-17</v>
      </c>
      <c r="O1428">
        <f t="shared" si="156"/>
        <v>66</v>
      </c>
      <c r="P1428" t="str">
        <f t="shared" si="157"/>
        <v>mężczyzna</v>
      </c>
      <c r="Q1428">
        <f t="shared" si="158"/>
        <v>26</v>
      </c>
      <c r="R1428">
        <f t="shared" si="159"/>
        <v>10</v>
      </c>
      <c r="S1428">
        <f t="shared" ca="1" si="160"/>
        <v>0</v>
      </c>
    </row>
    <row r="1429" spans="1:19">
      <c r="A1429" s="1" t="s">
        <v>19</v>
      </c>
      <c r="B1429" s="2">
        <v>600</v>
      </c>
      <c r="C1429" s="1">
        <v>600</v>
      </c>
      <c r="D1429" s="1" t="s">
        <v>920</v>
      </c>
      <c r="E1429" s="1">
        <v>11</v>
      </c>
      <c r="F1429" s="3">
        <v>2800</v>
      </c>
      <c r="G1429" s="1">
        <v>0</v>
      </c>
      <c r="H1429" s="1" t="s">
        <v>2767</v>
      </c>
      <c r="I1429" s="1" t="s">
        <v>922</v>
      </c>
      <c r="J1429" s="1" t="s">
        <v>16</v>
      </c>
      <c r="K1429" s="1" t="s">
        <v>2752</v>
      </c>
      <c r="L1429" s="1" t="s">
        <v>2704</v>
      </c>
      <c r="M1429">
        <f t="shared" si="154"/>
        <v>600</v>
      </c>
      <c r="N1429" t="str">
        <f t="shared" si="155"/>
        <v>1957-10-22</v>
      </c>
      <c r="O1429">
        <f t="shared" si="156"/>
        <v>55</v>
      </c>
      <c r="P1429" t="str">
        <f t="shared" si="157"/>
        <v>kobieta</v>
      </c>
      <c r="Q1429">
        <f t="shared" si="158"/>
        <v>64</v>
      </c>
      <c r="R1429">
        <f t="shared" si="159"/>
        <v>48</v>
      </c>
      <c r="S1429">
        <f t="shared" ca="1" si="160"/>
        <v>5</v>
      </c>
    </row>
    <row r="1430" spans="1:19">
      <c r="A1430" s="1" t="s">
        <v>56</v>
      </c>
      <c r="B1430" s="2">
        <v>600</v>
      </c>
      <c r="C1430" s="1">
        <v>500</v>
      </c>
      <c r="D1430" s="1" t="s">
        <v>2768</v>
      </c>
      <c r="E1430" s="1">
        <v>11</v>
      </c>
      <c r="F1430" s="3">
        <v>2000</v>
      </c>
      <c r="G1430" s="1">
        <v>0</v>
      </c>
      <c r="H1430" s="1" t="s">
        <v>2769</v>
      </c>
      <c r="I1430" s="1" t="s">
        <v>161</v>
      </c>
      <c r="J1430" s="1" t="s">
        <v>16</v>
      </c>
      <c r="K1430" s="1" t="s">
        <v>2752</v>
      </c>
      <c r="L1430" s="1" t="s">
        <v>28</v>
      </c>
      <c r="M1430">
        <f t="shared" si="154"/>
        <v>500</v>
      </c>
      <c r="N1430" t="str">
        <f t="shared" si="155"/>
        <v>1967-08-03</v>
      </c>
      <c r="O1430">
        <f t="shared" si="156"/>
        <v>45</v>
      </c>
      <c r="P1430" t="str">
        <f t="shared" si="157"/>
        <v>mężczyzna</v>
      </c>
      <c r="Q1430">
        <f t="shared" si="158"/>
        <v>8</v>
      </c>
      <c r="R1430">
        <f t="shared" si="159"/>
        <v>48</v>
      </c>
      <c r="S1430">
        <f t="shared" ca="1" si="160"/>
        <v>5149</v>
      </c>
    </row>
    <row r="1431" spans="1:19">
      <c r="A1431" s="1" t="s">
        <v>19</v>
      </c>
      <c r="B1431" s="2">
        <v>1000</v>
      </c>
      <c r="C1431" s="1">
        <v>1000</v>
      </c>
      <c r="D1431" s="1" t="s">
        <v>1091</v>
      </c>
      <c r="E1431" s="1">
        <v>11</v>
      </c>
      <c r="F1431" s="3">
        <v>5800</v>
      </c>
      <c r="G1431" s="1">
        <v>8</v>
      </c>
      <c r="H1431" s="1" t="s">
        <v>2770</v>
      </c>
      <c r="I1431" s="1" t="s">
        <v>1093</v>
      </c>
      <c r="J1431" s="1" t="s">
        <v>16</v>
      </c>
      <c r="K1431" s="1" t="s">
        <v>2752</v>
      </c>
      <c r="L1431" s="1" t="s">
        <v>2730</v>
      </c>
      <c r="M1431">
        <f t="shared" si="154"/>
        <v>1000</v>
      </c>
      <c r="N1431" t="str">
        <f t="shared" si="155"/>
        <v>1964-04-01</v>
      </c>
      <c r="O1431">
        <f t="shared" si="156"/>
        <v>48</v>
      </c>
      <c r="P1431" t="str">
        <f t="shared" si="157"/>
        <v>kobieta</v>
      </c>
      <c r="Q1431">
        <f t="shared" si="158"/>
        <v>58</v>
      </c>
      <c r="R1431">
        <f t="shared" si="159"/>
        <v>48</v>
      </c>
      <c r="S1431">
        <f t="shared" ca="1" si="160"/>
        <v>3</v>
      </c>
    </row>
    <row r="1432" spans="1:19">
      <c r="A1432" s="1" t="s">
        <v>19</v>
      </c>
      <c r="B1432" s="2">
        <v>500</v>
      </c>
      <c r="C1432" s="1">
        <v>500</v>
      </c>
      <c r="D1432" s="1" t="s">
        <v>1213</v>
      </c>
      <c r="E1432" s="1">
        <v>13</v>
      </c>
      <c r="F1432" s="3">
        <v>1000</v>
      </c>
      <c r="G1432" s="1">
        <v>8</v>
      </c>
      <c r="H1432" s="1" t="s">
        <v>2771</v>
      </c>
      <c r="I1432" s="1" t="s">
        <v>1215</v>
      </c>
      <c r="J1432" s="1" t="s">
        <v>16</v>
      </c>
      <c r="K1432" s="1" t="s">
        <v>2772</v>
      </c>
      <c r="L1432" s="1" t="s">
        <v>2712</v>
      </c>
      <c r="M1432">
        <f t="shared" si="154"/>
        <v>500</v>
      </c>
      <c r="N1432" t="str">
        <f t="shared" si="155"/>
        <v>1951-02-15</v>
      </c>
      <c r="O1432">
        <f t="shared" si="156"/>
        <v>61</v>
      </c>
      <c r="P1432" t="str">
        <f t="shared" si="157"/>
        <v>kobieta</v>
      </c>
      <c r="Q1432">
        <f t="shared" si="158"/>
        <v>72</v>
      </c>
      <c r="R1432">
        <f t="shared" si="159"/>
        <v>48</v>
      </c>
      <c r="S1432">
        <f t="shared" ca="1" si="160"/>
        <v>0</v>
      </c>
    </row>
    <row r="1433" spans="1:19">
      <c r="A1433" s="1" t="s">
        <v>19</v>
      </c>
      <c r="B1433" s="2">
        <v>500</v>
      </c>
      <c r="C1433" s="1">
        <v>500</v>
      </c>
      <c r="D1433" s="1" t="s">
        <v>1738</v>
      </c>
      <c r="E1433" s="1">
        <v>13</v>
      </c>
      <c r="F1433" s="3">
        <v>1248</v>
      </c>
      <c r="G1433" s="1">
        <v>2</v>
      </c>
      <c r="H1433" s="1" t="s">
        <v>2773</v>
      </c>
      <c r="I1433" s="1" t="s">
        <v>1740</v>
      </c>
      <c r="J1433" s="1" t="s">
        <v>16</v>
      </c>
      <c r="K1433" s="1" t="s">
        <v>2772</v>
      </c>
      <c r="L1433" s="1" t="s">
        <v>2606</v>
      </c>
      <c r="M1433">
        <f t="shared" si="154"/>
        <v>500</v>
      </c>
      <c r="N1433" t="str">
        <f t="shared" si="155"/>
        <v>1936-02-22</v>
      </c>
      <c r="O1433">
        <f t="shared" si="156"/>
        <v>76</v>
      </c>
      <c r="P1433" t="str">
        <f t="shared" si="157"/>
        <v>kobieta</v>
      </c>
      <c r="Q1433">
        <f t="shared" si="158"/>
        <v>254</v>
      </c>
      <c r="R1433">
        <f t="shared" si="159"/>
        <v>48</v>
      </c>
      <c r="S1433">
        <f t="shared" ca="1" si="160"/>
        <v>0</v>
      </c>
    </row>
    <row r="1434" spans="1:19">
      <c r="A1434" s="1" t="s">
        <v>12</v>
      </c>
      <c r="B1434" s="2">
        <v>200</v>
      </c>
      <c r="C1434" s="1">
        <v>200</v>
      </c>
      <c r="D1434" s="1" t="s">
        <v>228</v>
      </c>
      <c r="E1434" s="1">
        <v>13</v>
      </c>
      <c r="F1434" s="3">
        <v>12220</v>
      </c>
      <c r="G1434" s="1">
        <v>0</v>
      </c>
      <c r="H1434" s="1" t="s">
        <v>2774</v>
      </c>
      <c r="I1434" s="1" t="s">
        <v>230</v>
      </c>
      <c r="J1434" s="1" t="s">
        <v>16</v>
      </c>
      <c r="K1434" s="1" t="s">
        <v>2772</v>
      </c>
      <c r="L1434" s="1" t="s">
        <v>2704</v>
      </c>
      <c r="M1434">
        <f t="shared" si="154"/>
        <v>200</v>
      </c>
      <c r="N1434" t="str">
        <f t="shared" si="155"/>
        <v>1954-02-20</v>
      </c>
      <c r="O1434">
        <f t="shared" si="156"/>
        <v>58</v>
      </c>
      <c r="P1434" t="str">
        <f t="shared" si="157"/>
        <v>mężczyzna</v>
      </c>
      <c r="Q1434">
        <f t="shared" si="158"/>
        <v>75</v>
      </c>
      <c r="R1434">
        <f t="shared" si="159"/>
        <v>48</v>
      </c>
      <c r="S1434">
        <f t="shared" ca="1" si="160"/>
        <v>4</v>
      </c>
    </row>
    <row r="1435" spans="1:19">
      <c r="A1435" s="1" t="s">
        <v>19</v>
      </c>
      <c r="B1435" s="2">
        <v>537.15</v>
      </c>
      <c r="C1435" s="1">
        <v>537.15</v>
      </c>
      <c r="D1435" s="1" t="s">
        <v>840</v>
      </c>
      <c r="E1435" s="1">
        <v>13</v>
      </c>
      <c r="F1435" s="3">
        <v>962</v>
      </c>
      <c r="G1435" s="1">
        <v>4</v>
      </c>
      <c r="H1435" s="1" t="s">
        <v>2775</v>
      </c>
      <c r="I1435" s="1" t="s">
        <v>669</v>
      </c>
      <c r="J1435" s="1" t="s">
        <v>16</v>
      </c>
      <c r="K1435" s="1" t="s">
        <v>2772</v>
      </c>
      <c r="L1435" s="1" t="s">
        <v>2476</v>
      </c>
      <c r="M1435">
        <f t="shared" si="154"/>
        <v>537.15</v>
      </c>
      <c r="N1435" t="str">
        <f t="shared" si="155"/>
        <v>1949-10-06</v>
      </c>
      <c r="O1435">
        <f t="shared" si="156"/>
        <v>63</v>
      </c>
      <c r="P1435" t="str">
        <f t="shared" si="157"/>
        <v>kobieta</v>
      </c>
      <c r="Q1435">
        <f t="shared" si="158"/>
        <v>69</v>
      </c>
      <c r="R1435">
        <f t="shared" si="159"/>
        <v>48</v>
      </c>
      <c r="S1435">
        <f t="shared" ca="1" si="160"/>
        <v>3</v>
      </c>
    </row>
    <row r="1436" spans="1:19">
      <c r="A1436" s="1" t="s">
        <v>19</v>
      </c>
      <c r="B1436" s="2">
        <v>500</v>
      </c>
      <c r="C1436" s="1">
        <v>300</v>
      </c>
      <c r="D1436" s="1" t="s">
        <v>2776</v>
      </c>
      <c r="E1436" s="1">
        <v>11</v>
      </c>
      <c r="F1436" s="3">
        <v>1380</v>
      </c>
      <c r="G1436" s="1">
        <v>0</v>
      </c>
      <c r="H1436" s="1" t="s">
        <v>2777</v>
      </c>
      <c r="I1436" s="1" t="s">
        <v>2778</v>
      </c>
      <c r="J1436" s="1" t="s">
        <v>16</v>
      </c>
      <c r="K1436" s="1" t="s">
        <v>2772</v>
      </c>
      <c r="L1436" s="1" t="s">
        <v>2606</v>
      </c>
      <c r="M1436">
        <f t="shared" si="154"/>
        <v>300</v>
      </c>
      <c r="N1436" t="str">
        <f t="shared" si="155"/>
        <v>1978-10-15</v>
      </c>
      <c r="O1436">
        <f t="shared" si="156"/>
        <v>34</v>
      </c>
      <c r="P1436" t="str">
        <f t="shared" si="157"/>
        <v>kobieta</v>
      </c>
      <c r="Q1436">
        <f t="shared" si="158"/>
        <v>30</v>
      </c>
      <c r="R1436">
        <f t="shared" si="159"/>
        <v>48</v>
      </c>
      <c r="S1436">
        <f t="shared" ca="1" si="160"/>
        <v>0</v>
      </c>
    </row>
    <row r="1437" spans="1:19">
      <c r="A1437" s="1" t="s">
        <v>12</v>
      </c>
      <c r="B1437" s="2">
        <v>300</v>
      </c>
      <c r="C1437" s="1">
        <v>300</v>
      </c>
      <c r="D1437" s="1" t="s">
        <v>2779</v>
      </c>
      <c r="E1437" s="1">
        <v>13</v>
      </c>
      <c r="F1437" s="3">
        <v>1087.72</v>
      </c>
      <c r="G1437" s="1">
        <v>0</v>
      </c>
      <c r="H1437" s="1" t="s">
        <v>2780</v>
      </c>
      <c r="I1437" s="1" t="s">
        <v>2781</v>
      </c>
      <c r="J1437" s="1" t="s">
        <v>16</v>
      </c>
      <c r="K1437" s="1" t="s">
        <v>2772</v>
      </c>
      <c r="L1437" s="1" t="s">
        <v>2712</v>
      </c>
      <c r="M1437">
        <f t="shared" si="154"/>
        <v>300</v>
      </c>
      <c r="N1437" t="str">
        <f t="shared" si="155"/>
        <v>1951-08-20</v>
      </c>
      <c r="O1437">
        <f t="shared" si="156"/>
        <v>61</v>
      </c>
      <c r="P1437" t="str">
        <f t="shared" si="157"/>
        <v>kobieta</v>
      </c>
      <c r="Q1437">
        <f t="shared" si="158"/>
        <v>5</v>
      </c>
      <c r="R1437">
        <f t="shared" si="159"/>
        <v>48</v>
      </c>
      <c r="S1437">
        <f t="shared" ca="1" si="160"/>
        <v>0</v>
      </c>
    </row>
    <row r="1438" spans="1:19">
      <c r="A1438" s="1" t="s">
        <v>19</v>
      </c>
      <c r="B1438" s="2">
        <v>441.54</v>
      </c>
      <c r="C1438" s="1">
        <v>441.54</v>
      </c>
      <c r="D1438" s="1" t="s">
        <v>848</v>
      </c>
      <c r="E1438" s="1">
        <v>98</v>
      </c>
      <c r="F1438" s="3">
        <v>4000</v>
      </c>
      <c r="G1438" s="1">
        <v>8</v>
      </c>
      <c r="H1438" s="1" t="s">
        <v>2782</v>
      </c>
      <c r="I1438" s="1" t="s">
        <v>850</v>
      </c>
      <c r="J1438" s="1" t="s">
        <v>16</v>
      </c>
      <c r="K1438" s="1" t="s">
        <v>2772</v>
      </c>
      <c r="L1438" s="1" t="s">
        <v>2704</v>
      </c>
      <c r="M1438">
        <f t="shared" si="154"/>
        <v>441.54</v>
      </c>
      <c r="N1438" t="str">
        <f t="shared" si="155"/>
        <v>1976-01-19</v>
      </c>
      <c r="O1438">
        <f t="shared" si="156"/>
        <v>36</v>
      </c>
      <c r="P1438" t="str">
        <f t="shared" si="157"/>
        <v>kobieta</v>
      </c>
      <c r="Q1438">
        <f t="shared" si="158"/>
        <v>23</v>
      </c>
      <c r="R1438">
        <f t="shared" si="159"/>
        <v>48</v>
      </c>
      <c r="S1438">
        <f t="shared" ca="1" si="160"/>
        <v>4</v>
      </c>
    </row>
    <row r="1439" spans="1:19">
      <c r="A1439" s="1" t="s">
        <v>12</v>
      </c>
      <c r="B1439" s="2">
        <v>200</v>
      </c>
      <c r="C1439" s="1">
        <v>200</v>
      </c>
      <c r="D1439" s="1" t="s">
        <v>770</v>
      </c>
      <c r="E1439" s="1">
        <v>13</v>
      </c>
      <c r="F1439" s="3">
        <v>1287.6600000000001</v>
      </c>
      <c r="G1439" s="1">
        <v>7</v>
      </c>
      <c r="H1439" s="1" t="s">
        <v>2783</v>
      </c>
      <c r="I1439" s="1" t="s">
        <v>772</v>
      </c>
      <c r="J1439" s="1" t="s">
        <v>16</v>
      </c>
      <c r="K1439" s="1" t="s">
        <v>2772</v>
      </c>
      <c r="L1439" s="1" t="s">
        <v>2568</v>
      </c>
      <c r="M1439">
        <f t="shared" si="154"/>
        <v>200</v>
      </c>
      <c r="N1439" t="str">
        <f t="shared" si="155"/>
        <v>1948-09-05</v>
      </c>
      <c r="O1439">
        <f t="shared" si="156"/>
        <v>64</v>
      </c>
      <c r="P1439" t="str">
        <f t="shared" si="157"/>
        <v>mężczyzna</v>
      </c>
      <c r="Q1439">
        <f t="shared" si="158"/>
        <v>100</v>
      </c>
      <c r="R1439">
        <f t="shared" si="159"/>
        <v>48</v>
      </c>
      <c r="S1439">
        <f t="shared" ca="1" si="160"/>
        <v>10</v>
      </c>
    </row>
    <row r="1440" spans="1:19">
      <c r="A1440" s="1" t="s">
        <v>19</v>
      </c>
      <c r="B1440" s="2">
        <v>200</v>
      </c>
      <c r="C1440" s="1">
        <v>200</v>
      </c>
      <c r="D1440" s="1" t="s">
        <v>2583</v>
      </c>
      <c r="E1440" s="1">
        <v>15</v>
      </c>
      <c r="F1440" s="3">
        <v>678</v>
      </c>
      <c r="G1440" s="1">
        <v>0</v>
      </c>
      <c r="H1440" s="1" t="s">
        <v>2784</v>
      </c>
      <c r="I1440" s="1" t="s">
        <v>2785</v>
      </c>
      <c r="J1440" s="1" t="s">
        <v>16</v>
      </c>
      <c r="K1440" s="1" t="s">
        <v>2772</v>
      </c>
      <c r="L1440" s="1" t="s">
        <v>2133</v>
      </c>
      <c r="M1440">
        <f t="shared" si="154"/>
        <v>200</v>
      </c>
      <c r="N1440" t="str">
        <f t="shared" si="155"/>
        <v>1955-09-20</v>
      </c>
      <c r="O1440">
        <f t="shared" si="156"/>
        <v>57</v>
      </c>
      <c r="P1440" t="str">
        <f t="shared" si="157"/>
        <v>kobieta</v>
      </c>
      <c r="Q1440">
        <f t="shared" si="158"/>
        <v>144</v>
      </c>
      <c r="R1440">
        <f t="shared" si="159"/>
        <v>48</v>
      </c>
      <c r="S1440">
        <f t="shared" ca="1" si="160"/>
        <v>0</v>
      </c>
    </row>
    <row r="1441" spans="1:19">
      <c r="A1441" s="1" t="s">
        <v>24</v>
      </c>
      <c r="B1441" s="2">
        <v>1000</v>
      </c>
      <c r="C1441" s="1">
        <v>0</v>
      </c>
      <c r="D1441" s="1" t="s">
        <v>2786</v>
      </c>
      <c r="E1441" s="1">
        <v>12</v>
      </c>
      <c r="F1441" s="3">
        <v>1148</v>
      </c>
      <c r="G1441" s="1">
        <v>0</v>
      </c>
      <c r="H1441" s="1" t="s">
        <v>2787</v>
      </c>
      <c r="I1441" s="1" t="s">
        <v>2788</v>
      </c>
      <c r="J1441" s="1" t="s">
        <v>2789</v>
      </c>
      <c r="K1441" s="1" t="s">
        <v>16</v>
      </c>
      <c r="L1441" s="1" t="s">
        <v>28</v>
      </c>
      <c r="M1441">
        <f t="shared" si="154"/>
        <v>1000</v>
      </c>
      <c r="N1441" t="str">
        <f t="shared" si="155"/>
        <v>1984-08-25</v>
      </c>
      <c r="O1441">
        <f t="shared" si="156"/>
        <v>28</v>
      </c>
      <c r="P1441" t="str">
        <f t="shared" si="157"/>
        <v>mężczyzna</v>
      </c>
      <c r="Q1441">
        <f t="shared" si="158"/>
        <v>10</v>
      </c>
      <c r="R1441">
        <f t="shared" si="159"/>
        <v>13</v>
      </c>
      <c r="S1441">
        <f t="shared" ca="1" si="160"/>
        <v>0</v>
      </c>
    </row>
    <row r="1442" spans="1:19">
      <c r="A1442" s="1" t="s">
        <v>12</v>
      </c>
      <c r="B1442" s="2">
        <v>200</v>
      </c>
      <c r="C1442" s="1">
        <v>200</v>
      </c>
      <c r="D1442" s="1" t="s">
        <v>2790</v>
      </c>
      <c r="E1442" s="1">
        <v>12</v>
      </c>
      <c r="F1442" s="3">
        <v>976</v>
      </c>
      <c r="G1442" s="1">
        <v>0</v>
      </c>
      <c r="H1442" s="1" t="s">
        <v>2791</v>
      </c>
      <c r="I1442" s="1" t="s">
        <v>1516</v>
      </c>
      <c r="J1442" s="1" t="s">
        <v>246</v>
      </c>
      <c r="K1442" s="1" t="s">
        <v>2772</v>
      </c>
      <c r="L1442" s="1" t="s">
        <v>2421</v>
      </c>
      <c r="M1442">
        <f t="shared" si="154"/>
        <v>200</v>
      </c>
      <c r="N1442" t="str">
        <f t="shared" si="155"/>
        <v>1962-04-19</v>
      </c>
      <c r="O1442">
        <f t="shared" si="156"/>
        <v>50</v>
      </c>
      <c r="P1442" t="str">
        <f t="shared" si="157"/>
        <v>kobieta</v>
      </c>
      <c r="Q1442">
        <f t="shared" si="158"/>
        <v>1</v>
      </c>
      <c r="R1442">
        <f t="shared" si="159"/>
        <v>1</v>
      </c>
      <c r="S1442">
        <f t="shared" ca="1" si="160"/>
        <v>0</v>
      </c>
    </row>
    <row r="1443" spans="1:19">
      <c r="A1443" s="1" t="s">
        <v>19</v>
      </c>
      <c r="B1443" s="2">
        <v>300</v>
      </c>
      <c r="C1443" s="1">
        <v>300</v>
      </c>
      <c r="D1443" s="1" t="s">
        <v>2229</v>
      </c>
      <c r="E1443" s="1">
        <v>11</v>
      </c>
      <c r="F1443" s="3">
        <v>1800</v>
      </c>
      <c r="G1443" s="1">
        <v>1</v>
      </c>
      <c r="H1443" s="1" t="s">
        <v>2792</v>
      </c>
      <c r="I1443" s="1" t="s">
        <v>2231</v>
      </c>
      <c r="J1443" s="1" t="s">
        <v>16</v>
      </c>
      <c r="K1443" s="1" t="s">
        <v>2772</v>
      </c>
      <c r="L1443" s="1" t="s">
        <v>2133</v>
      </c>
      <c r="M1443">
        <f t="shared" si="154"/>
        <v>300</v>
      </c>
      <c r="N1443" t="str">
        <f t="shared" si="155"/>
        <v>1955-09-28</v>
      </c>
      <c r="O1443">
        <f t="shared" si="156"/>
        <v>57</v>
      </c>
      <c r="P1443" t="str">
        <f t="shared" si="157"/>
        <v>kobieta</v>
      </c>
      <c r="Q1443">
        <f t="shared" si="158"/>
        <v>116</v>
      </c>
      <c r="R1443">
        <f t="shared" si="159"/>
        <v>48</v>
      </c>
      <c r="S1443">
        <f t="shared" ca="1" si="160"/>
        <v>0</v>
      </c>
    </row>
    <row r="1444" spans="1:19">
      <c r="A1444" s="1" t="s">
        <v>19</v>
      </c>
      <c r="B1444" s="2">
        <v>500</v>
      </c>
      <c r="C1444" s="1">
        <v>500</v>
      </c>
      <c r="D1444" s="1" t="s">
        <v>2793</v>
      </c>
      <c r="E1444" s="1">
        <v>11</v>
      </c>
      <c r="F1444" s="3">
        <v>2600</v>
      </c>
      <c r="G1444" s="1">
        <v>0</v>
      </c>
      <c r="H1444" s="1" t="s">
        <v>2794</v>
      </c>
      <c r="I1444" s="1" t="s">
        <v>2795</v>
      </c>
      <c r="J1444" s="1" t="s">
        <v>16</v>
      </c>
      <c r="K1444" s="1" t="s">
        <v>2772</v>
      </c>
      <c r="L1444" s="1" t="s">
        <v>2730</v>
      </c>
      <c r="M1444">
        <f t="shared" si="154"/>
        <v>500</v>
      </c>
      <c r="N1444" t="str">
        <f t="shared" si="155"/>
        <v>1947-11-29</v>
      </c>
      <c r="O1444">
        <f t="shared" si="156"/>
        <v>65</v>
      </c>
      <c r="P1444" t="str">
        <f t="shared" si="157"/>
        <v>mężczyzna</v>
      </c>
      <c r="Q1444">
        <f t="shared" si="158"/>
        <v>139</v>
      </c>
      <c r="R1444">
        <f t="shared" si="159"/>
        <v>48</v>
      </c>
      <c r="S1444">
        <f t="shared" ca="1" si="160"/>
        <v>2</v>
      </c>
    </row>
    <row r="1445" spans="1:19">
      <c r="A1445" s="1" t="s">
        <v>19</v>
      </c>
      <c r="B1445" s="2">
        <v>300</v>
      </c>
      <c r="C1445" s="1">
        <v>300</v>
      </c>
      <c r="D1445" s="1" t="s">
        <v>1079</v>
      </c>
      <c r="E1445" s="1">
        <v>11</v>
      </c>
      <c r="F1445" s="3">
        <v>2000</v>
      </c>
      <c r="G1445" s="1">
        <v>3</v>
      </c>
      <c r="H1445" s="1" t="s">
        <v>2796</v>
      </c>
      <c r="I1445" s="1" t="s">
        <v>1081</v>
      </c>
      <c r="J1445" s="1" t="s">
        <v>16</v>
      </c>
      <c r="K1445" s="1" t="s">
        <v>2772</v>
      </c>
      <c r="L1445" s="1" t="s">
        <v>2704</v>
      </c>
      <c r="M1445">
        <f t="shared" si="154"/>
        <v>300</v>
      </c>
      <c r="N1445" t="str">
        <f t="shared" si="155"/>
        <v>1952-04-06</v>
      </c>
      <c r="O1445">
        <f t="shared" si="156"/>
        <v>60</v>
      </c>
      <c r="P1445" t="str">
        <f t="shared" si="157"/>
        <v>mężczyzna</v>
      </c>
      <c r="Q1445">
        <f t="shared" si="158"/>
        <v>74</v>
      </c>
      <c r="R1445">
        <f t="shared" si="159"/>
        <v>48</v>
      </c>
      <c r="S1445">
        <f t="shared" ca="1" si="160"/>
        <v>4</v>
      </c>
    </row>
    <row r="1446" spans="1:19">
      <c r="A1446" s="1" t="s">
        <v>19</v>
      </c>
      <c r="B1446" s="2">
        <v>200</v>
      </c>
      <c r="C1446" s="1">
        <v>200</v>
      </c>
      <c r="D1446" s="1" t="s">
        <v>752</v>
      </c>
      <c r="E1446" s="1">
        <v>12</v>
      </c>
      <c r="F1446" s="3">
        <v>1400</v>
      </c>
      <c r="G1446" s="1">
        <v>3</v>
      </c>
      <c r="H1446" s="1" t="s">
        <v>2797</v>
      </c>
      <c r="I1446" s="1" t="s">
        <v>754</v>
      </c>
      <c r="J1446" s="1" t="s">
        <v>2252</v>
      </c>
      <c r="K1446" s="1" t="s">
        <v>2798</v>
      </c>
      <c r="L1446" s="1" t="s">
        <v>2730</v>
      </c>
      <c r="M1446">
        <f t="shared" si="154"/>
        <v>200</v>
      </c>
      <c r="N1446" t="str">
        <f t="shared" si="155"/>
        <v>1984-07-22</v>
      </c>
      <c r="O1446">
        <f t="shared" si="156"/>
        <v>28</v>
      </c>
      <c r="P1446" t="str">
        <f t="shared" si="157"/>
        <v>mężczyzna</v>
      </c>
      <c r="Q1446">
        <f t="shared" si="158"/>
        <v>5</v>
      </c>
      <c r="R1446">
        <f t="shared" si="159"/>
        <v>1</v>
      </c>
      <c r="S1446">
        <f t="shared" ca="1" si="160"/>
        <v>0</v>
      </c>
    </row>
    <row r="1447" spans="1:19">
      <c r="A1447" s="1" t="s">
        <v>19</v>
      </c>
      <c r="B1447" s="2">
        <v>300</v>
      </c>
      <c r="C1447" s="1">
        <v>300</v>
      </c>
      <c r="D1447" s="1" t="s">
        <v>134</v>
      </c>
      <c r="E1447" s="1">
        <v>13</v>
      </c>
      <c r="F1447" s="3">
        <v>821.35</v>
      </c>
      <c r="G1447" s="1">
        <v>0</v>
      </c>
      <c r="H1447" s="1" t="s">
        <v>2799</v>
      </c>
      <c r="I1447" s="1" t="s">
        <v>136</v>
      </c>
      <c r="J1447" s="1" t="s">
        <v>16</v>
      </c>
      <c r="K1447" s="1" t="s">
        <v>2798</v>
      </c>
      <c r="L1447" s="1" t="s">
        <v>2730</v>
      </c>
      <c r="M1447">
        <f t="shared" si="154"/>
        <v>300</v>
      </c>
      <c r="N1447" t="str">
        <f t="shared" si="155"/>
        <v>1936-04-22</v>
      </c>
      <c r="O1447">
        <f t="shared" si="156"/>
        <v>76</v>
      </c>
      <c r="P1447" t="str">
        <f t="shared" si="157"/>
        <v>kobieta</v>
      </c>
      <c r="Q1447">
        <f t="shared" si="158"/>
        <v>250</v>
      </c>
      <c r="R1447">
        <f t="shared" si="159"/>
        <v>48</v>
      </c>
      <c r="S1447">
        <f t="shared" ca="1" si="160"/>
        <v>0</v>
      </c>
    </row>
    <row r="1448" spans="1:19">
      <c r="A1448" s="1" t="s">
        <v>19</v>
      </c>
      <c r="B1448" s="2">
        <v>700</v>
      </c>
      <c r="C1448" s="1">
        <v>700</v>
      </c>
      <c r="D1448" s="1" t="s">
        <v>1458</v>
      </c>
      <c r="E1448" s="1">
        <v>13</v>
      </c>
      <c r="F1448" s="3">
        <v>1431</v>
      </c>
      <c r="G1448" s="1">
        <v>1</v>
      </c>
      <c r="H1448" s="1" t="s">
        <v>2800</v>
      </c>
      <c r="I1448" s="1" t="s">
        <v>1460</v>
      </c>
      <c r="J1448" s="1" t="s">
        <v>16</v>
      </c>
      <c r="K1448" s="1" t="s">
        <v>2798</v>
      </c>
      <c r="L1448" s="1" t="s">
        <v>2730</v>
      </c>
      <c r="M1448">
        <f t="shared" si="154"/>
        <v>700</v>
      </c>
      <c r="N1448" t="str">
        <f t="shared" si="155"/>
        <v>1944-01-10</v>
      </c>
      <c r="O1448">
        <f t="shared" si="156"/>
        <v>68</v>
      </c>
      <c r="P1448" t="str">
        <f t="shared" si="157"/>
        <v>kobieta</v>
      </c>
      <c r="Q1448">
        <f t="shared" si="158"/>
        <v>251</v>
      </c>
      <c r="R1448">
        <f t="shared" si="159"/>
        <v>48</v>
      </c>
      <c r="S1448">
        <f t="shared" ca="1" si="160"/>
        <v>0</v>
      </c>
    </row>
    <row r="1449" spans="1:19">
      <c r="A1449" s="1" t="s">
        <v>12</v>
      </c>
      <c r="B1449" s="2">
        <v>400</v>
      </c>
      <c r="C1449" s="1">
        <v>400</v>
      </c>
      <c r="D1449" s="1" t="s">
        <v>101</v>
      </c>
      <c r="E1449" s="1">
        <v>11</v>
      </c>
      <c r="F1449" s="3">
        <v>4000</v>
      </c>
      <c r="G1449" s="1">
        <v>9</v>
      </c>
      <c r="H1449" s="1" t="s">
        <v>2801</v>
      </c>
      <c r="I1449" s="1" t="s">
        <v>103</v>
      </c>
      <c r="J1449" s="1" t="s">
        <v>16</v>
      </c>
      <c r="K1449" s="1" t="s">
        <v>2798</v>
      </c>
      <c r="L1449" s="1" t="s">
        <v>2802</v>
      </c>
      <c r="M1449">
        <f t="shared" si="154"/>
        <v>400</v>
      </c>
      <c r="N1449" t="str">
        <f t="shared" si="155"/>
        <v>1958-01-12</v>
      </c>
      <c r="O1449">
        <f t="shared" si="156"/>
        <v>54</v>
      </c>
      <c r="P1449" t="str">
        <f t="shared" si="157"/>
        <v>mężczyzna</v>
      </c>
      <c r="Q1449">
        <f t="shared" si="158"/>
        <v>14</v>
      </c>
      <c r="R1449">
        <f t="shared" si="159"/>
        <v>48</v>
      </c>
      <c r="S1449">
        <f t="shared" ca="1" si="160"/>
        <v>18</v>
      </c>
    </row>
    <row r="1450" spans="1:19">
      <c r="A1450" s="1" t="s">
        <v>19</v>
      </c>
      <c r="B1450" s="2">
        <v>200</v>
      </c>
      <c r="C1450" s="1">
        <v>200</v>
      </c>
      <c r="D1450" s="1" t="s">
        <v>1043</v>
      </c>
      <c r="E1450" s="1">
        <v>13</v>
      </c>
      <c r="F1450" s="3">
        <v>975</v>
      </c>
      <c r="G1450" s="1">
        <v>8</v>
      </c>
      <c r="H1450" s="1" t="s">
        <v>2803</v>
      </c>
      <c r="I1450" s="1" t="s">
        <v>506</v>
      </c>
      <c r="J1450" s="1" t="s">
        <v>16</v>
      </c>
      <c r="K1450" s="1" t="s">
        <v>2798</v>
      </c>
      <c r="L1450" s="1" t="s">
        <v>2621</v>
      </c>
      <c r="M1450">
        <f t="shared" si="154"/>
        <v>200</v>
      </c>
      <c r="N1450" t="str">
        <f t="shared" si="155"/>
        <v>1950-02-09</v>
      </c>
      <c r="O1450">
        <f t="shared" si="156"/>
        <v>62</v>
      </c>
      <c r="P1450" t="str">
        <f t="shared" si="157"/>
        <v>kobieta</v>
      </c>
      <c r="Q1450">
        <f t="shared" si="158"/>
        <v>31</v>
      </c>
      <c r="R1450">
        <f t="shared" si="159"/>
        <v>48</v>
      </c>
      <c r="S1450">
        <f t="shared" ca="1" si="160"/>
        <v>14</v>
      </c>
    </row>
    <row r="1451" spans="1:19">
      <c r="A1451" s="1" t="s">
        <v>12</v>
      </c>
      <c r="B1451" s="2">
        <v>200</v>
      </c>
      <c r="C1451" s="1">
        <v>200</v>
      </c>
      <c r="D1451" s="1" t="s">
        <v>149</v>
      </c>
      <c r="E1451" s="1">
        <v>98</v>
      </c>
      <c r="F1451" s="3">
        <v>2000</v>
      </c>
      <c r="G1451" s="1">
        <v>0</v>
      </c>
      <c r="H1451" s="1" t="s">
        <v>2804</v>
      </c>
      <c r="I1451" s="1" t="s">
        <v>151</v>
      </c>
      <c r="J1451" s="1" t="s">
        <v>16</v>
      </c>
      <c r="K1451" s="1" t="s">
        <v>2798</v>
      </c>
      <c r="L1451" s="1" t="s">
        <v>2261</v>
      </c>
      <c r="M1451">
        <f t="shared" si="154"/>
        <v>200</v>
      </c>
      <c r="N1451" t="str">
        <f t="shared" si="155"/>
        <v>1980-11-17</v>
      </c>
      <c r="O1451">
        <f t="shared" si="156"/>
        <v>32</v>
      </c>
      <c r="P1451" t="str">
        <f t="shared" si="157"/>
        <v>mężczyzna</v>
      </c>
      <c r="Q1451">
        <f t="shared" si="158"/>
        <v>18</v>
      </c>
      <c r="R1451">
        <f t="shared" si="159"/>
        <v>48</v>
      </c>
      <c r="S1451">
        <f t="shared" ca="1" si="160"/>
        <v>0</v>
      </c>
    </row>
    <row r="1452" spans="1:19">
      <c r="A1452" s="1" t="s">
        <v>19</v>
      </c>
      <c r="B1452" s="2">
        <v>600</v>
      </c>
      <c r="C1452" s="1">
        <v>600</v>
      </c>
      <c r="D1452" s="1" t="s">
        <v>516</v>
      </c>
      <c r="E1452" s="1">
        <v>11</v>
      </c>
      <c r="F1452" s="3">
        <v>1443</v>
      </c>
      <c r="G1452" s="1">
        <v>3</v>
      </c>
      <c r="H1452" s="1" t="s">
        <v>2805</v>
      </c>
      <c r="I1452" s="1" t="s">
        <v>62</v>
      </c>
      <c r="J1452" s="1" t="s">
        <v>16</v>
      </c>
      <c r="K1452" s="1" t="s">
        <v>2798</v>
      </c>
      <c r="L1452" s="1" t="s">
        <v>2476</v>
      </c>
      <c r="M1452">
        <f t="shared" si="154"/>
        <v>600</v>
      </c>
      <c r="N1452" t="str">
        <f t="shared" si="155"/>
        <v>1968-06-20</v>
      </c>
      <c r="O1452">
        <f t="shared" si="156"/>
        <v>44</v>
      </c>
      <c r="P1452" t="str">
        <f t="shared" si="157"/>
        <v>kobieta</v>
      </c>
      <c r="Q1452">
        <f t="shared" si="158"/>
        <v>38</v>
      </c>
      <c r="R1452">
        <f t="shared" si="159"/>
        <v>48</v>
      </c>
      <c r="S1452">
        <f t="shared" ca="1" si="160"/>
        <v>1</v>
      </c>
    </row>
    <row r="1453" spans="1:19">
      <c r="A1453" s="1" t="s">
        <v>19</v>
      </c>
      <c r="B1453" s="2">
        <v>400</v>
      </c>
      <c r="C1453" s="1">
        <v>400</v>
      </c>
      <c r="D1453" s="1" t="s">
        <v>176</v>
      </c>
      <c r="E1453" s="1">
        <v>11</v>
      </c>
      <c r="F1453" s="3">
        <v>1842.86</v>
      </c>
      <c r="G1453" s="1">
        <v>7</v>
      </c>
      <c r="H1453" s="1" t="s">
        <v>2806</v>
      </c>
      <c r="I1453" s="1" t="s">
        <v>178</v>
      </c>
      <c r="J1453" s="1" t="s">
        <v>16</v>
      </c>
      <c r="K1453" s="1" t="s">
        <v>2798</v>
      </c>
      <c r="L1453" s="1" t="s">
        <v>2133</v>
      </c>
      <c r="M1453">
        <f t="shared" si="154"/>
        <v>400</v>
      </c>
      <c r="N1453" t="str">
        <f t="shared" si="155"/>
        <v>1955-04-12</v>
      </c>
      <c r="O1453">
        <f t="shared" si="156"/>
        <v>57</v>
      </c>
      <c r="P1453" t="str">
        <f t="shared" si="157"/>
        <v>mężczyzna</v>
      </c>
      <c r="Q1453">
        <f t="shared" si="158"/>
        <v>12</v>
      </c>
      <c r="R1453">
        <f t="shared" si="159"/>
        <v>48</v>
      </c>
      <c r="S1453">
        <f t="shared" ca="1" si="160"/>
        <v>0</v>
      </c>
    </row>
    <row r="1454" spans="1:19">
      <c r="A1454" s="1" t="s">
        <v>24</v>
      </c>
      <c r="B1454" s="2">
        <v>700</v>
      </c>
      <c r="C1454" s="1">
        <v>0</v>
      </c>
      <c r="D1454" s="1" t="s">
        <v>2807</v>
      </c>
      <c r="E1454" s="1">
        <v>11</v>
      </c>
      <c r="F1454" s="3">
        <v>2505.34</v>
      </c>
      <c r="G1454" s="1">
        <v>0</v>
      </c>
      <c r="H1454" s="1" t="s">
        <v>2808</v>
      </c>
      <c r="I1454" s="1" t="s">
        <v>544</v>
      </c>
      <c r="J1454" s="1" t="s">
        <v>16</v>
      </c>
      <c r="K1454" s="1" t="s">
        <v>16</v>
      </c>
      <c r="L1454" s="1" t="s">
        <v>28</v>
      </c>
      <c r="M1454">
        <f t="shared" si="154"/>
        <v>700</v>
      </c>
      <c r="N1454" t="str">
        <f t="shared" si="155"/>
        <v>1960-05-16</v>
      </c>
      <c r="O1454">
        <f t="shared" si="156"/>
        <v>52</v>
      </c>
      <c r="P1454" t="str">
        <f t="shared" si="157"/>
        <v>mężczyzna</v>
      </c>
      <c r="Q1454">
        <f t="shared" si="158"/>
        <v>12</v>
      </c>
      <c r="R1454">
        <f t="shared" si="159"/>
        <v>48</v>
      </c>
      <c r="S1454">
        <f t="shared" ca="1" si="160"/>
        <v>0</v>
      </c>
    </row>
    <row r="1455" spans="1:19">
      <c r="A1455" s="1" t="s">
        <v>19</v>
      </c>
      <c r="B1455" s="2">
        <v>400</v>
      </c>
      <c r="C1455" s="1">
        <v>300</v>
      </c>
      <c r="D1455" s="1" t="s">
        <v>2809</v>
      </c>
      <c r="E1455" s="1">
        <v>13</v>
      </c>
      <c r="F1455" s="3">
        <v>1098</v>
      </c>
      <c r="G1455" s="1">
        <v>0</v>
      </c>
      <c r="H1455" s="1" t="s">
        <v>2810</v>
      </c>
      <c r="I1455" s="1" t="s">
        <v>2717</v>
      </c>
      <c r="J1455" s="1" t="s">
        <v>16</v>
      </c>
      <c r="K1455" s="1" t="s">
        <v>2798</v>
      </c>
      <c r="L1455" s="1" t="s">
        <v>2133</v>
      </c>
      <c r="M1455">
        <f t="shared" si="154"/>
        <v>300</v>
      </c>
      <c r="N1455" t="str">
        <f t="shared" si="155"/>
        <v>1952-01-13</v>
      </c>
      <c r="O1455">
        <f t="shared" si="156"/>
        <v>60</v>
      </c>
      <c r="P1455" t="str">
        <f t="shared" si="157"/>
        <v>kobieta</v>
      </c>
      <c r="Q1455">
        <f t="shared" si="158"/>
        <v>60</v>
      </c>
      <c r="R1455">
        <f t="shared" si="159"/>
        <v>48</v>
      </c>
      <c r="S1455">
        <f t="shared" ca="1" si="160"/>
        <v>0</v>
      </c>
    </row>
    <row r="1456" spans="1:19">
      <c r="A1456" s="1" t="s">
        <v>19</v>
      </c>
      <c r="B1456" s="2">
        <v>600</v>
      </c>
      <c r="C1456" s="1">
        <v>600</v>
      </c>
      <c r="D1456" s="1" t="s">
        <v>420</v>
      </c>
      <c r="E1456" s="1">
        <v>13</v>
      </c>
      <c r="F1456" s="3">
        <v>714</v>
      </c>
      <c r="G1456" s="1">
        <v>2</v>
      </c>
      <c r="H1456" s="1" t="s">
        <v>2811</v>
      </c>
      <c r="I1456" s="1" t="s">
        <v>422</v>
      </c>
      <c r="J1456" s="1" t="s">
        <v>16</v>
      </c>
      <c r="K1456" s="1" t="s">
        <v>2798</v>
      </c>
      <c r="L1456" s="1" t="s">
        <v>2730</v>
      </c>
      <c r="M1456">
        <f t="shared" si="154"/>
        <v>600</v>
      </c>
      <c r="N1456" t="str">
        <f t="shared" si="155"/>
        <v>1949-07-16</v>
      </c>
      <c r="O1456">
        <f t="shared" si="156"/>
        <v>63</v>
      </c>
      <c r="P1456" t="str">
        <f t="shared" si="157"/>
        <v>kobieta</v>
      </c>
      <c r="Q1456">
        <f t="shared" si="158"/>
        <v>226</v>
      </c>
      <c r="R1456">
        <f t="shared" si="159"/>
        <v>48</v>
      </c>
      <c r="S1456">
        <f t="shared" ca="1" si="160"/>
        <v>0</v>
      </c>
    </row>
    <row r="1457" spans="1:19">
      <c r="A1457" s="1" t="s">
        <v>12</v>
      </c>
      <c r="B1457" s="2">
        <v>600</v>
      </c>
      <c r="C1457" s="1">
        <v>600</v>
      </c>
      <c r="D1457" s="1" t="s">
        <v>1313</v>
      </c>
      <c r="E1457" s="1">
        <v>11</v>
      </c>
      <c r="F1457" s="3">
        <v>1800</v>
      </c>
      <c r="G1457" s="1">
        <v>1</v>
      </c>
      <c r="H1457" s="1" t="s">
        <v>2812</v>
      </c>
      <c r="I1457" s="1" t="s">
        <v>1315</v>
      </c>
      <c r="J1457" s="1" t="s">
        <v>16</v>
      </c>
      <c r="K1457" s="1" t="s">
        <v>2798</v>
      </c>
      <c r="L1457" s="1" t="s">
        <v>2813</v>
      </c>
      <c r="M1457">
        <f t="shared" si="154"/>
        <v>600</v>
      </c>
      <c r="N1457" t="str">
        <f t="shared" si="155"/>
        <v>1972-12-22</v>
      </c>
      <c r="O1457">
        <f t="shared" si="156"/>
        <v>40</v>
      </c>
      <c r="P1457" t="str">
        <f t="shared" si="157"/>
        <v>kobieta</v>
      </c>
      <c r="Q1457">
        <f t="shared" si="158"/>
        <v>56</v>
      </c>
      <c r="R1457">
        <f t="shared" si="159"/>
        <v>48</v>
      </c>
      <c r="S1457">
        <f t="shared" ca="1" si="160"/>
        <v>9</v>
      </c>
    </row>
    <row r="1458" spans="1:19">
      <c r="A1458" s="1" t="s">
        <v>19</v>
      </c>
      <c r="B1458" s="2">
        <v>430</v>
      </c>
      <c r="C1458" s="1">
        <v>430</v>
      </c>
      <c r="D1458" s="1" t="s">
        <v>955</v>
      </c>
      <c r="E1458" s="1">
        <v>11</v>
      </c>
      <c r="F1458" s="3">
        <v>2470</v>
      </c>
      <c r="G1458" s="1">
        <v>5</v>
      </c>
      <c r="H1458" s="1" t="s">
        <v>2814</v>
      </c>
      <c r="I1458" s="1" t="s">
        <v>957</v>
      </c>
      <c r="J1458" s="1" t="s">
        <v>16</v>
      </c>
      <c r="K1458" s="1" t="s">
        <v>2798</v>
      </c>
      <c r="L1458" s="1" t="s">
        <v>1943</v>
      </c>
      <c r="M1458">
        <f t="shared" si="154"/>
        <v>430</v>
      </c>
      <c r="N1458" t="str">
        <f t="shared" si="155"/>
        <v>1973-03-26</v>
      </c>
      <c r="O1458">
        <f t="shared" si="156"/>
        <v>39</v>
      </c>
      <c r="P1458" t="str">
        <f t="shared" si="157"/>
        <v>mężczyzna</v>
      </c>
      <c r="Q1458">
        <f t="shared" si="158"/>
        <v>70</v>
      </c>
      <c r="R1458">
        <f t="shared" si="159"/>
        <v>48</v>
      </c>
      <c r="S1458">
        <f t="shared" ca="1" si="160"/>
        <v>7</v>
      </c>
    </row>
    <row r="1459" spans="1:19">
      <c r="A1459" s="1" t="s">
        <v>19</v>
      </c>
      <c r="B1459" s="2">
        <v>450</v>
      </c>
      <c r="C1459" s="1">
        <v>450</v>
      </c>
      <c r="D1459" s="1" t="s">
        <v>895</v>
      </c>
      <c r="E1459" s="1">
        <v>13</v>
      </c>
      <c r="F1459" s="3">
        <v>1019</v>
      </c>
      <c r="G1459" s="1">
        <v>1</v>
      </c>
      <c r="H1459" s="1" t="s">
        <v>2815</v>
      </c>
      <c r="I1459" s="1" t="s">
        <v>897</v>
      </c>
      <c r="J1459" s="1" t="s">
        <v>16</v>
      </c>
      <c r="K1459" s="1" t="s">
        <v>2798</v>
      </c>
      <c r="L1459" s="1" t="s">
        <v>2730</v>
      </c>
      <c r="M1459">
        <f t="shared" si="154"/>
        <v>450</v>
      </c>
      <c r="N1459" t="str">
        <f t="shared" si="155"/>
        <v>1943-03-20</v>
      </c>
      <c r="O1459">
        <f t="shared" si="156"/>
        <v>69</v>
      </c>
      <c r="P1459" t="str">
        <f t="shared" si="157"/>
        <v>kobieta</v>
      </c>
      <c r="Q1459">
        <f t="shared" si="158"/>
        <v>137</v>
      </c>
      <c r="R1459">
        <f t="shared" si="159"/>
        <v>48</v>
      </c>
      <c r="S1459">
        <f t="shared" ca="1" si="160"/>
        <v>0</v>
      </c>
    </row>
    <row r="1460" spans="1:19">
      <c r="A1460" s="1" t="s">
        <v>12</v>
      </c>
      <c r="B1460" s="2">
        <v>200</v>
      </c>
      <c r="C1460" s="1">
        <v>200</v>
      </c>
      <c r="D1460" s="1" t="s">
        <v>1753</v>
      </c>
      <c r="E1460" s="1">
        <v>11</v>
      </c>
      <c r="F1460" s="3">
        <v>1800</v>
      </c>
      <c r="G1460" s="1">
        <v>2</v>
      </c>
      <c r="H1460" s="1" t="s">
        <v>2816</v>
      </c>
      <c r="I1460" s="1" t="s">
        <v>1755</v>
      </c>
      <c r="J1460" s="1" t="s">
        <v>16</v>
      </c>
      <c r="K1460" s="1" t="s">
        <v>2798</v>
      </c>
      <c r="L1460" s="1" t="s">
        <v>2350</v>
      </c>
      <c r="M1460">
        <f t="shared" si="154"/>
        <v>200</v>
      </c>
      <c r="N1460" t="str">
        <f t="shared" si="155"/>
        <v>1954-08-25</v>
      </c>
      <c r="O1460">
        <f t="shared" si="156"/>
        <v>58</v>
      </c>
      <c r="P1460" t="str">
        <f t="shared" si="157"/>
        <v>mężczyzna</v>
      </c>
      <c r="Q1460">
        <f t="shared" si="158"/>
        <v>165</v>
      </c>
      <c r="R1460">
        <f t="shared" si="159"/>
        <v>48</v>
      </c>
      <c r="S1460">
        <f t="shared" ca="1" si="160"/>
        <v>0</v>
      </c>
    </row>
    <row r="1461" spans="1:19">
      <c r="A1461" s="1" t="s">
        <v>24</v>
      </c>
      <c r="B1461" s="2">
        <v>300</v>
      </c>
      <c r="C1461" s="1">
        <v>0</v>
      </c>
      <c r="D1461" s="1" t="s">
        <v>2817</v>
      </c>
      <c r="E1461" s="1">
        <v>12</v>
      </c>
      <c r="F1461" s="3">
        <v>918</v>
      </c>
      <c r="G1461" s="1">
        <v>0</v>
      </c>
      <c r="H1461" s="1" t="s">
        <v>2818</v>
      </c>
      <c r="I1461" s="1" t="s">
        <v>2819</v>
      </c>
      <c r="J1461" s="1" t="s">
        <v>2820</v>
      </c>
      <c r="K1461" s="1" t="s">
        <v>16</v>
      </c>
      <c r="L1461" s="1" t="s">
        <v>28</v>
      </c>
      <c r="M1461">
        <f t="shared" si="154"/>
        <v>300</v>
      </c>
      <c r="N1461" t="str">
        <f t="shared" si="155"/>
        <v>1953-01-10</v>
      </c>
      <c r="O1461">
        <f t="shared" si="156"/>
        <v>59</v>
      </c>
      <c r="P1461" t="str">
        <f t="shared" si="157"/>
        <v>mężczyzna</v>
      </c>
      <c r="Q1461">
        <f t="shared" si="158"/>
        <v>47</v>
      </c>
      <c r="R1461">
        <f t="shared" si="159"/>
        <v>39</v>
      </c>
      <c r="S1461">
        <f t="shared" ca="1" si="160"/>
        <v>0</v>
      </c>
    </row>
    <row r="1462" spans="1:19">
      <c r="A1462" s="1" t="s">
        <v>12</v>
      </c>
      <c r="B1462" s="2">
        <v>800</v>
      </c>
      <c r="C1462" s="1">
        <v>300</v>
      </c>
      <c r="D1462" s="1" t="s">
        <v>2821</v>
      </c>
      <c r="E1462" s="1">
        <v>12</v>
      </c>
      <c r="F1462" s="3">
        <v>1440</v>
      </c>
      <c r="G1462" s="1">
        <v>0</v>
      </c>
      <c r="H1462" s="1" t="s">
        <v>2822</v>
      </c>
      <c r="I1462" s="1" t="s">
        <v>2030</v>
      </c>
      <c r="J1462" s="1" t="s">
        <v>2823</v>
      </c>
      <c r="K1462" s="1" t="s">
        <v>2798</v>
      </c>
      <c r="L1462" s="1" t="s">
        <v>2606</v>
      </c>
      <c r="M1462">
        <f t="shared" si="154"/>
        <v>300</v>
      </c>
      <c r="N1462" t="str">
        <f t="shared" si="155"/>
        <v>1987-05-04</v>
      </c>
      <c r="O1462">
        <f t="shared" si="156"/>
        <v>25</v>
      </c>
      <c r="P1462" t="str">
        <f t="shared" si="157"/>
        <v>mężczyzna</v>
      </c>
      <c r="Q1462">
        <f t="shared" si="158"/>
        <v>7</v>
      </c>
      <c r="R1462">
        <f t="shared" si="159"/>
        <v>17</v>
      </c>
      <c r="S1462">
        <f t="shared" ca="1" si="160"/>
        <v>0</v>
      </c>
    </row>
    <row r="1463" spans="1:19">
      <c r="A1463" s="1" t="s">
        <v>19</v>
      </c>
      <c r="B1463" s="2">
        <v>300</v>
      </c>
      <c r="C1463" s="1">
        <v>300</v>
      </c>
      <c r="D1463" s="1" t="s">
        <v>1835</v>
      </c>
      <c r="E1463" s="1">
        <v>12</v>
      </c>
      <c r="F1463" s="3">
        <v>1382</v>
      </c>
      <c r="G1463" s="1">
        <v>2</v>
      </c>
      <c r="H1463" s="1" t="s">
        <v>2824</v>
      </c>
      <c r="I1463" s="1" t="s">
        <v>1837</v>
      </c>
      <c r="J1463" s="1" t="s">
        <v>2108</v>
      </c>
      <c r="K1463" s="1" t="s">
        <v>2798</v>
      </c>
      <c r="L1463" s="1" t="s">
        <v>2506</v>
      </c>
      <c r="M1463">
        <f t="shared" si="154"/>
        <v>300</v>
      </c>
      <c r="N1463" t="str">
        <f t="shared" si="155"/>
        <v>1974-11-18</v>
      </c>
      <c r="O1463">
        <f t="shared" si="156"/>
        <v>38</v>
      </c>
      <c r="P1463" t="str">
        <f t="shared" si="157"/>
        <v>kobieta</v>
      </c>
      <c r="Q1463">
        <f t="shared" si="158"/>
        <v>25</v>
      </c>
      <c r="R1463">
        <f t="shared" si="159"/>
        <v>10</v>
      </c>
      <c r="S1463">
        <f t="shared" ca="1" si="160"/>
        <v>0</v>
      </c>
    </row>
    <row r="1464" spans="1:19">
      <c r="A1464" s="1" t="s">
        <v>19</v>
      </c>
      <c r="B1464" s="2">
        <v>300</v>
      </c>
      <c r="C1464" s="1">
        <v>300</v>
      </c>
      <c r="D1464" s="1" t="s">
        <v>621</v>
      </c>
      <c r="E1464" s="1">
        <v>13</v>
      </c>
      <c r="F1464" s="3">
        <v>992.96</v>
      </c>
      <c r="G1464" s="1">
        <v>0</v>
      </c>
      <c r="H1464" s="1" t="s">
        <v>2825</v>
      </c>
      <c r="I1464" s="1" t="s">
        <v>623</v>
      </c>
      <c r="J1464" s="1" t="s">
        <v>16</v>
      </c>
      <c r="K1464" s="1" t="s">
        <v>2798</v>
      </c>
      <c r="L1464" s="1" t="s">
        <v>2133</v>
      </c>
      <c r="M1464">
        <f t="shared" si="154"/>
        <v>300</v>
      </c>
      <c r="N1464" t="str">
        <f t="shared" si="155"/>
        <v>1950-02-28</v>
      </c>
      <c r="O1464">
        <f t="shared" si="156"/>
        <v>62</v>
      </c>
      <c r="P1464" t="str">
        <f t="shared" si="157"/>
        <v>kobieta</v>
      </c>
      <c r="Q1464">
        <f t="shared" si="158"/>
        <v>16</v>
      </c>
      <c r="R1464">
        <f t="shared" si="159"/>
        <v>48</v>
      </c>
      <c r="S1464">
        <f t="shared" ca="1" si="160"/>
        <v>0</v>
      </c>
    </row>
    <row r="1465" spans="1:19">
      <c r="A1465" s="1" t="s">
        <v>12</v>
      </c>
      <c r="B1465" s="2">
        <v>1000</v>
      </c>
      <c r="C1465" s="1">
        <v>1000</v>
      </c>
      <c r="D1465" s="1" t="s">
        <v>1299</v>
      </c>
      <c r="E1465" s="1">
        <v>13</v>
      </c>
      <c r="F1465" s="3">
        <v>3600</v>
      </c>
      <c r="G1465" s="1">
        <v>3</v>
      </c>
      <c r="H1465" s="1" t="s">
        <v>2826</v>
      </c>
      <c r="I1465" s="1" t="s">
        <v>1301</v>
      </c>
      <c r="J1465" s="1" t="s">
        <v>16</v>
      </c>
      <c r="K1465" s="1" t="s">
        <v>2798</v>
      </c>
      <c r="L1465" s="1" t="s">
        <v>2133</v>
      </c>
      <c r="M1465">
        <f t="shared" si="154"/>
        <v>1000</v>
      </c>
      <c r="N1465" t="str">
        <f t="shared" si="155"/>
        <v>1954-07-09</v>
      </c>
      <c r="O1465">
        <f t="shared" si="156"/>
        <v>58</v>
      </c>
      <c r="P1465" t="str">
        <f t="shared" si="157"/>
        <v>mężczyzna</v>
      </c>
      <c r="Q1465">
        <f t="shared" si="158"/>
        <v>90</v>
      </c>
      <c r="R1465">
        <f t="shared" si="159"/>
        <v>48</v>
      </c>
      <c r="S1465">
        <f t="shared" ca="1" si="160"/>
        <v>0</v>
      </c>
    </row>
    <row r="1466" spans="1:19">
      <c r="A1466" s="1" t="s">
        <v>19</v>
      </c>
      <c r="B1466" s="2">
        <v>1000</v>
      </c>
      <c r="C1466" s="1">
        <v>600</v>
      </c>
      <c r="D1466" s="1" t="s">
        <v>926</v>
      </c>
      <c r="E1466" s="1">
        <v>11</v>
      </c>
      <c r="F1466" s="3">
        <v>2200</v>
      </c>
      <c r="G1466" s="1">
        <v>0</v>
      </c>
      <c r="H1466" s="1" t="s">
        <v>2827</v>
      </c>
      <c r="I1466" s="1" t="s">
        <v>2585</v>
      </c>
      <c r="J1466" s="1" t="s">
        <v>16</v>
      </c>
      <c r="K1466" s="1" t="s">
        <v>2798</v>
      </c>
      <c r="L1466" s="1" t="s">
        <v>2743</v>
      </c>
      <c r="M1466">
        <f t="shared" si="154"/>
        <v>600</v>
      </c>
      <c r="N1466" t="str">
        <f t="shared" si="155"/>
        <v>1979-02-13</v>
      </c>
      <c r="O1466">
        <f t="shared" si="156"/>
        <v>33</v>
      </c>
      <c r="P1466" t="str">
        <f t="shared" si="157"/>
        <v>mężczyzna</v>
      </c>
      <c r="Q1466">
        <f t="shared" si="158"/>
        <v>132</v>
      </c>
      <c r="R1466">
        <f t="shared" si="159"/>
        <v>48</v>
      </c>
      <c r="S1466">
        <f t="shared" ca="1" si="160"/>
        <v>4</v>
      </c>
    </row>
    <row r="1467" spans="1:19">
      <c r="A1467" s="1" t="s">
        <v>19</v>
      </c>
      <c r="B1467" s="2">
        <v>387.11</v>
      </c>
      <c r="C1467" s="1">
        <v>387.11</v>
      </c>
      <c r="D1467" s="1" t="s">
        <v>2319</v>
      </c>
      <c r="E1467" s="1">
        <v>13</v>
      </c>
      <c r="F1467" s="3">
        <v>1373</v>
      </c>
      <c r="G1467" s="1">
        <v>1</v>
      </c>
      <c r="H1467" s="1" t="s">
        <v>2828</v>
      </c>
      <c r="I1467" s="1" t="s">
        <v>1514</v>
      </c>
      <c r="J1467" s="1" t="s">
        <v>16</v>
      </c>
      <c r="K1467" s="1" t="s">
        <v>2829</v>
      </c>
      <c r="L1467" s="1" t="s">
        <v>2476</v>
      </c>
      <c r="M1467">
        <f t="shared" si="154"/>
        <v>387.11</v>
      </c>
      <c r="N1467" t="str">
        <f t="shared" si="155"/>
        <v>1937-11-12</v>
      </c>
      <c r="O1467">
        <f t="shared" si="156"/>
        <v>75</v>
      </c>
      <c r="P1467" t="str">
        <f t="shared" si="157"/>
        <v>kobieta</v>
      </c>
      <c r="Q1467">
        <f t="shared" si="158"/>
        <v>114</v>
      </c>
      <c r="R1467">
        <f t="shared" si="159"/>
        <v>48</v>
      </c>
      <c r="S1467">
        <f t="shared" ca="1" si="160"/>
        <v>0</v>
      </c>
    </row>
    <row r="1468" spans="1:19">
      <c r="A1468" s="1" t="s">
        <v>19</v>
      </c>
      <c r="B1468" s="2">
        <v>280.88</v>
      </c>
      <c r="C1468" s="1">
        <v>280.88</v>
      </c>
      <c r="D1468" s="1" t="s">
        <v>1915</v>
      </c>
      <c r="E1468" s="1">
        <v>13</v>
      </c>
      <c r="F1468" s="3">
        <v>2000</v>
      </c>
      <c r="G1468" s="1">
        <v>2</v>
      </c>
      <c r="H1468" s="1" t="s">
        <v>2830</v>
      </c>
      <c r="I1468" s="1" t="s">
        <v>1747</v>
      </c>
      <c r="J1468" s="1" t="s">
        <v>16</v>
      </c>
      <c r="K1468" s="1" t="s">
        <v>2829</v>
      </c>
      <c r="L1468" s="1" t="s">
        <v>2476</v>
      </c>
      <c r="M1468">
        <f t="shared" si="154"/>
        <v>280.88</v>
      </c>
      <c r="N1468" t="str">
        <f t="shared" si="155"/>
        <v>1949-10-29</v>
      </c>
      <c r="O1468">
        <f t="shared" si="156"/>
        <v>63</v>
      </c>
      <c r="P1468" t="str">
        <f t="shared" si="157"/>
        <v>mężczyzna</v>
      </c>
      <c r="Q1468">
        <f t="shared" si="158"/>
        <v>38</v>
      </c>
      <c r="R1468">
        <f t="shared" si="159"/>
        <v>48</v>
      </c>
      <c r="S1468">
        <f t="shared" ca="1" si="160"/>
        <v>0</v>
      </c>
    </row>
    <row r="1469" spans="1:19">
      <c r="A1469" s="1" t="s">
        <v>19</v>
      </c>
      <c r="B1469" s="2">
        <v>400</v>
      </c>
      <c r="C1469" s="1">
        <v>400</v>
      </c>
      <c r="D1469" s="1" t="s">
        <v>982</v>
      </c>
      <c r="E1469" s="1">
        <v>11</v>
      </c>
      <c r="F1469" s="3">
        <v>3300</v>
      </c>
      <c r="G1469" s="1">
        <v>2</v>
      </c>
      <c r="H1469" s="1" t="s">
        <v>2831</v>
      </c>
      <c r="I1469" s="1" t="s">
        <v>984</v>
      </c>
      <c r="J1469" s="1" t="s">
        <v>16</v>
      </c>
      <c r="K1469" s="1" t="s">
        <v>2829</v>
      </c>
      <c r="L1469" s="1" t="s">
        <v>2730</v>
      </c>
      <c r="M1469">
        <f t="shared" si="154"/>
        <v>400</v>
      </c>
      <c r="N1469" t="str">
        <f t="shared" si="155"/>
        <v>1967-01-04</v>
      </c>
      <c r="O1469">
        <f t="shared" si="156"/>
        <v>45</v>
      </c>
      <c r="P1469" t="str">
        <f t="shared" si="157"/>
        <v>mężczyzna</v>
      </c>
      <c r="Q1469">
        <f t="shared" si="158"/>
        <v>241</v>
      </c>
      <c r="R1469">
        <f t="shared" si="159"/>
        <v>48</v>
      </c>
      <c r="S1469">
        <f t="shared" ca="1" si="160"/>
        <v>0</v>
      </c>
    </row>
    <row r="1470" spans="1:19">
      <c r="A1470" s="1" t="s">
        <v>19</v>
      </c>
      <c r="B1470" s="2">
        <v>200</v>
      </c>
      <c r="C1470" s="1">
        <v>200</v>
      </c>
      <c r="D1470" s="1" t="s">
        <v>407</v>
      </c>
      <c r="E1470" s="1">
        <v>13</v>
      </c>
      <c r="F1470" s="3">
        <v>785</v>
      </c>
      <c r="G1470" s="1">
        <v>5</v>
      </c>
      <c r="H1470" s="1" t="s">
        <v>2832</v>
      </c>
      <c r="I1470" s="1" t="s">
        <v>266</v>
      </c>
      <c r="J1470" s="1" t="s">
        <v>16</v>
      </c>
      <c r="K1470" s="1" t="s">
        <v>2829</v>
      </c>
      <c r="L1470" s="1" t="s">
        <v>2476</v>
      </c>
      <c r="M1470">
        <f t="shared" si="154"/>
        <v>200</v>
      </c>
      <c r="N1470" t="str">
        <f t="shared" si="155"/>
        <v>1939-11-08</v>
      </c>
      <c r="O1470">
        <f t="shared" si="156"/>
        <v>73</v>
      </c>
      <c r="P1470" t="str">
        <f t="shared" si="157"/>
        <v>kobieta</v>
      </c>
      <c r="Q1470">
        <f t="shared" si="158"/>
        <v>68</v>
      </c>
      <c r="R1470">
        <f t="shared" si="159"/>
        <v>48</v>
      </c>
      <c r="S1470">
        <f t="shared" ca="1" si="160"/>
        <v>0</v>
      </c>
    </row>
    <row r="1471" spans="1:19">
      <c r="A1471" s="1" t="s">
        <v>12</v>
      </c>
      <c r="B1471" s="2">
        <v>800</v>
      </c>
      <c r="C1471" s="1">
        <v>650</v>
      </c>
      <c r="D1471" s="1" t="s">
        <v>384</v>
      </c>
      <c r="E1471" s="1">
        <v>13</v>
      </c>
      <c r="F1471" s="3">
        <v>3900</v>
      </c>
      <c r="G1471" s="1">
        <v>1</v>
      </c>
      <c r="H1471" s="1" t="s">
        <v>2833</v>
      </c>
      <c r="I1471" s="1" t="s">
        <v>386</v>
      </c>
      <c r="J1471" s="1" t="s">
        <v>16</v>
      </c>
      <c r="K1471" s="1" t="s">
        <v>2829</v>
      </c>
      <c r="L1471" s="1" t="s">
        <v>2743</v>
      </c>
      <c r="M1471">
        <f t="shared" si="154"/>
        <v>650</v>
      </c>
      <c r="N1471" t="str">
        <f t="shared" si="155"/>
        <v>1952-08-15</v>
      </c>
      <c r="O1471">
        <f t="shared" si="156"/>
        <v>60</v>
      </c>
      <c r="P1471" t="str">
        <f t="shared" si="157"/>
        <v>mężczyzna</v>
      </c>
      <c r="Q1471">
        <f t="shared" si="158"/>
        <v>118</v>
      </c>
      <c r="R1471">
        <f t="shared" si="159"/>
        <v>48</v>
      </c>
      <c r="S1471">
        <f t="shared" ca="1" si="160"/>
        <v>2</v>
      </c>
    </row>
    <row r="1472" spans="1:19">
      <c r="A1472" s="1" t="s">
        <v>12</v>
      </c>
      <c r="B1472" s="2">
        <v>311.64999999999998</v>
      </c>
      <c r="C1472" s="1">
        <v>311.64999999999998</v>
      </c>
      <c r="D1472" s="1" t="s">
        <v>397</v>
      </c>
      <c r="E1472" s="1">
        <v>11</v>
      </c>
      <c r="F1472" s="3">
        <v>2709.34</v>
      </c>
      <c r="G1472" s="1">
        <v>9</v>
      </c>
      <c r="H1472" s="1" t="s">
        <v>2834</v>
      </c>
      <c r="I1472" s="1" t="s">
        <v>399</v>
      </c>
      <c r="J1472" s="1" t="s">
        <v>16</v>
      </c>
      <c r="K1472" s="1" t="s">
        <v>2829</v>
      </c>
      <c r="L1472" s="1" t="s">
        <v>2476</v>
      </c>
      <c r="M1472">
        <f t="shared" si="154"/>
        <v>311.64999999999998</v>
      </c>
      <c r="N1472" t="str">
        <f t="shared" si="155"/>
        <v>1976-06-18</v>
      </c>
      <c r="O1472">
        <f t="shared" si="156"/>
        <v>36</v>
      </c>
      <c r="P1472" t="str">
        <f t="shared" si="157"/>
        <v>kobieta</v>
      </c>
      <c r="Q1472">
        <f t="shared" si="158"/>
        <v>185</v>
      </c>
      <c r="R1472">
        <f t="shared" si="159"/>
        <v>48</v>
      </c>
      <c r="S1472">
        <f t="shared" ca="1" si="160"/>
        <v>0</v>
      </c>
    </row>
    <row r="1473" spans="1:19">
      <c r="A1473" s="1" t="s">
        <v>19</v>
      </c>
      <c r="B1473" s="2">
        <v>200</v>
      </c>
      <c r="C1473" s="1">
        <v>200</v>
      </c>
      <c r="D1473" s="1" t="s">
        <v>2835</v>
      </c>
      <c r="E1473" s="1">
        <v>12</v>
      </c>
      <c r="F1473" s="3">
        <v>822</v>
      </c>
      <c r="G1473" s="1">
        <v>0</v>
      </c>
      <c r="H1473" s="1" t="s">
        <v>2836</v>
      </c>
      <c r="I1473" s="1" t="s">
        <v>2837</v>
      </c>
      <c r="J1473" s="1" t="s">
        <v>2838</v>
      </c>
      <c r="K1473" s="1" t="s">
        <v>2829</v>
      </c>
      <c r="L1473" s="1" t="s">
        <v>2704</v>
      </c>
      <c r="M1473">
        <f t="shared" si="154"/>
        <v>200</v>
      </c>
      <c r="N1473" t="str">
        <f t="shared" si="155"/>
        <v>1962-10-01</v>
      </c>
      <c r="O1473">
        <f t="shared" si="156"/>
        <v>50</v>
      </c>
      <c r="P1473" t="str">
        <f t="shared" si="157"/>
        <v>mężczyzna</v>
      </c>
      <c r="Q1473">
        <f t="shared" si="158"/>
        <v>48</v>
      </c>
      <c r="R1473">
        <f t="shared" si="159"/>
        <v>48</v>
      </c>
      <c r="S1473">
        <f t="shared" ca="1" si="160"/>
        <v>0</v>
      </c>
    </row>
    <row r="1474" spans="1:19">
      <c r="A1474" s="1" t="s">
        <v>19</v>
      </c>
      <c r="B1474" s="2">
        <v>400</v>
      </c>
      <c r="C1474" s="1">
        <v>400</v>
      </c>
      <c r="D1474" s="1" t="s">
        <v>1821</v>
      </c>
      <c r="E1474" s="1">
        <v>11</v>
      </c>
      <c r="F1474" s="3">
        <v>1764</v>
      </c>
      <c r="G1474" s="1">
        <v>2</v>
      </c>
      <c r="H1474" s="1" t="s">
        <v>2839</v>
      </c>
      <c r="I1474" s="1" t="s">
        <v>1823</v>
      </c>
      <c r="J1474" s="1" t="s">
        <v>16</v>
      </c>
      <c r="K1474" s="1" t="s">
        <v>2829</v>
      </c>
      <c r="L1474" s="1" t="s">
        <v>2261</v>
      </c>
      <c r="M1474">
        <f t="shared" si="154"/>
        <v>400</v>
      </c>
      <c r="N1474" t="str">
        <f t="shared" si="155"/>
        <v>1962-06-23</v>
      </c>
      <c r="O1474">
        <f t="shared" si="156"/>
        <v>50</v>
      </c>
      <c r="P1474" t="str">
        <f t="shared" si="157"/>
        <v>kobieta</v>
      </c>
      <c r="Q1474">
        <f t="shared" si="158"/>
        <v>68</v>
      </c>
      <c r="R1474">
        <f t="shared" si="159"/>
        <v>48</v>
      </c>
      <c r="S1474">
        <f t="shared" ca="1" si="160"/>
        <v>0</v>
      </c>
    </row>
    <row r="1475" spans="1:19">
      <c r="A1475" s="1" t="s">
        <v>12</v>
      </c>
      <c r="B1475" s="2">
        <v>700</v>
      </c>
      <c r="C1475" s="1">
        <v>300</v>
      </c>
      <c r="D1475" s="1" t="s">
        <v>2840</v>
      </c>
      <c r="E1475" s="1">
        <v>13</v>
      </c>
      <c r="F1475" s="3">
        <v>1689.98</v>
      </c>
      <c r="G1475" s="1">
        <v>0</v>
      </c>
      <c r="H1475" s="1" t="s">
        <v>2841</v>
      </c>
      <c r="I1475" s="1" t="s">
        <v>474</v>
      </c>
      <c r="J1475" s="1" t="s">
        <v>16</v>
      </c>
      <c r="K1475" s="1" t="s">
        <v>2829</v>
      </c>
      <c r="L1475" s="1" t="s">
        <v>2730</v>
      </c>
      <c r="M1475">
        <f t="shared" ref="M1475:M1538" si="161">IF(A1475="odmowa", B1475,C1475)</f>
        <v>300</v>
      </c>
      <c r="N1475" t="str">
        <f t="shared" ref="N1475:N1538" si="162">CONCATENATE("19", MID(D1475, 1, 2), "-", MID(D1475, 3, 2), "-", MID(D1475, 5, 2))</f>
        <v>1943-07-24</v>
      </c>
      <c r="O1475">
        <f t="shared" ref="O1475:O1538" si="163">YEAR(H1475) - YEAR(N1475)</f>
        <v>69</v>
      </c>
      <c r="P1475" t="str">
        <f t="shared" ref="P1475:P1538" si="164">IF(MOD(MID(D1475, 10, 1), 2)=0, "kobieta", "mężczyzna")</f>
        <v>mężczyzna</v>
      </c>
      <c r="Q1475">
        <f t="shared" ref="Q1475:Q1538" si="165">(YEAR(H1475) - YEAR(I1475)) * 12 + MONTH(H1475) - MONTH(I1475)</f>
        <v>85</v>
      </c>
      <c r="R1475">
        <f t="shared" ref="R1475:R1538" si="166">IF(LEFT(J1475, 4)="0000", 48, MIN(48, (YEAR(J1475) - YEAR(H1475)) * 12 + MONTH(J1475) - MONTH(H1475)))</f>
        <v>48</v>
      </c>
      <c r="S1475">
        <f t="shared" ref="S1475:S1538" ca="1" si="167">IF(LEFT(K1475, 4)="0000", 0, IF(LEFT(L1475, 4)="0000", MAX(0, TODAY() - K1475), MAX(0, L1475 - K1475)))</f>
        <v>0</v>
      </c>
    </row>
    <row r="1476" spans="1:19">
      <c r="A1476" s="1" t="s">
        <v>24</v>
      </c>
      <c r="B1476" s="2">
        <v>500</v>
      </c>
      <c r="C1476" s="1">
        <v>0</v>
      </c>
      <c r="D1476" s="1" t="s">
        <v>2842</v>
      </c>
      <c r="E1476" s="1">
        <v>12</v>
      </c>
      <c r="F1476" s="3">
        <v>1082</v>
      </c>
      <c r="G1476" s="1">
        <v>0</v>
      </c>
      <c r="H1476" s="1" t="s">
        <v>2843</v>
      </c>
      <c r="I1476" s="1" t="s">
        <v>2844</v>
      </c>
      <c r="J1476" s="1" t="s">
        <v>2845</v>
      </c>
      <c r="K1476" s="1" t="s">
        <v>16</v>
      </c>
      <c r="L1476" s="1" t="s">
        <v>28</v>
      </c>
      <c r="M1476">
        <f t="shared" si="161"/>
        <v>500</v>
      </c>
      <c r="N1476" t="str">
        <f t="shared" si="162"/>
        <v>1984-04-21</v>
      </c>
      <c r="O1476">
        <f t="shared" si="163"/>
        <v>28</v>
      </c>
      <c r="P1476" t="str">
        <f t="shared" si="164"/>
        <v>kobieta</v>
      </c>
      <c r="Q1476">
        <f t="shared" si="165"/>
        <v>2</v>
      </c>
      <c r="R1476">
        <f t="shared" si="166"/>
        <v>5</v>
      </c>
      <c r="S1476">
        <f t="shared" ca="1" si="167"/>
        <v>0</v>
      </c>
    </row>
    <row r="1477" spans="1:19">
      <c r="A1477" s="1" t="s">
        <v>19</v>
      </c>
      <c r="B1477" s="2">
        <v>500</v>
      </c>
      <c r="C1477" s="1">
        <v>500</v>
      </c>
      <c r="D1477" s="1" t="s">
        <v>334</v>
      </c>
      <c r="E1477" s="1">
        <v>16</v>
      </c>
      <c r="F1477" s="3">
        <v>1770</v>
      </c>
      <c r="G1477" s="1">
        <v>9</v>
      </c>
      <c r="H1477" s="1" t="s">
        <v>2846</v>
      </c>
      <c r="I1477" s="1" t="s">
        <v>336</v>
      </c>
      <c r="J1477" s="1" t="s">
        <v>16</v>
      </c>
      <c r="K1477" s="1" t="s">
        <v>2829</v>
      </c>
      <c r="L1477" s="1" t="s">
        <v>2704</v>
      </c>
      <c r="M1477">
        <f t="shared" si="161"/>
        <v>500</v>
      </c>
      <c r="N1477" t="str">
        <f t="shared" si="162"/>
        <v>1953-04-19</v>
      </c>
      <c r="O1477">
        <f t="shared" si="163"/>
        <v>59</v>
      </c>
      <c r="P1477" t="str">
        <f t="shared" si="164"/>
        <v>mężczyzna</v>
      </c>
      <c r="Q1477">
        <f t="shared" si="165"/>
        <v>93</v>
      </c>
      <c r="R1477">
        <f t="shared" si="166"/>
        <v>48</v>
      </c>
      <c r="S1477">
        <f t="shared" ca="1" si="167"/>
        <v>0</v>
      </c>
    </row>
    <row r="1478" spans="1:19">
      <c r="A1478" s="1" t="s">
        <v>12</v>
      </c>
      <c r="B1478" s="2">
        <v>290</v>
      </c>
      <c r="C1478" s="1">
        <v>290</v>
      </c>
      <c r="D1478" s="1" t="s">
        <v>433</v>
      </c>
      <c r="E1478" s="1">
        <v>13</v>
      </c>
      <c r="F1478" s="3">
        <v>1280</v>
      </c>
      <c r="G1478" s="1">
        <v>9</v>
      </c>
      <c r="H1478" s="1" t="s">
        <v>2847</v>
      </c>
      <c r="I1478" s="1" t="s">
        <v>435</v>
      </c>
      <c r="J1478" s="1" t="s">
        <v>16</v>
      </c>
      <c r="K1478" s="1" t="s">
        <v>2829</v>
      </c>
      <c r="L1478" s="1" t="s">
        <v>2730</v>
      </c>
      <c r="M1478">
        <f t="shared" si="161"/>
        <v>290</v>
      </c>
      <c r="N1478" t="str">
        <f t="shared" si="162"/>
        <v>1950-08-05</v>
      </c>
      <c r="O1478">
        <f t="shared" si="163"/>
        <v>62</v>
      </c>
      <c r="P1478" t="str">
        <f t="shared" si="164"/>
        <v>kobieta</v>
      </c>
      <c r="Q1478">
        <f t="shared" si="165"/>
        <v>21</v>
      </c>
      <c r="R1478">
        <f t="shared" si="166"/>
        <v>48</v>
      </c>
      <c r="S1478">
        <f t="shared" ca="1" si="167"/>
        <v>0</v>
      </c>
    </row>
    <row r="1479" spans="1:19">
      <c r="A1479" s="1" t="s">
        <v>12</v>
      </c>
      <c r="B1479" s="2">
        <v>500</v>
      </c>
      <c r="C1479" s="1">
        <v>500</v>
      </c>
      <c r="D1479" s="1" t="s">
        <v>1066</v>
      </c>
      <c r="E1479" s="1">
        <v>13</v>
      </c>
      <c r="F1479" s="3">
        <v>1474.55</v>
      </c>
      <c r="G1479" s="1">
        <v>1</v>
      </c>
      <c r="H1479" s="1" t="s">
        <v>2848</v>
      </c>
      <c r="I1479" s="1" t="s">
        <v>669</v>
      </c>
      <c r="J1479" s="1" t="s">
        <v>16</v>
      </c>
      <c r="K1479" s="1" t="s">
        <v>2829</v>
      </c>
      <c r="L1479" s="1" t="s">
        <v>2849</v>
      </c>
      <c r="M1479">
        <f t="shared" si="161"/>
        <v>500</v>
      </c>
      <c r="N1479" t="str">
        <f t="shared" si="162"/>
        <v>1949-01-21</v>
      </c>
      <c r="O1479">
        <f t="shared" si="163"/>
        <v>63</v>
      </c>
      <c r="P1479" t="str">
        <f t="shared" si="164"/>
        <v>kobieta</v>
      </c>
      <c r="Q1479">
        <f t="shared" si="165"/>
        <v>69</v>
      </c>
      <c r="R1479">
        <f t="shared" si="166"/>
        <v>48</v>
      </c>
      <c r="S1479">
        <f t="shared" ca="1" si="167"/>
        <v>21</v>
      </c>
    </row>
    <row r="1480" spans="1:19">
      <c r="A1480" s="1" t="s">
        <v>19</v>
      </c>
      <c r="B1480" s="2">
        <v>300</v>
      </c>
      <c r="C1480" s="1">
        <v>300</v>
      </c>
      <c r="D1480" s="1" t="s">
        <v>219</v>
      </c>
      <c r="E1480" s="1">
        <v>13</v>
      </c>
      <c r="F1480" s="3">
        <v>1240</v>
      </c>
      <c r="G1480" s="1">
        <v>1</v>
      </c>
      <c r="H1480" s="1" t="s">
        <v>2850</v>
      </c>
      <c r="I1480" s="1" t="s">
        <v>221</v>
      </c>
      <c r="J1480" s="1" t="s">
        <v>16</v>
      </c>
      <c r="K1480" s="1" t="s">
        <v>2829</v>
      </c>
      <c r="L1480" s="1" t="s">
        <v>2704</v>
      </c>
      <c r="M1480">
        <f t="shared" si="161"/>
        <v>300</v>
      </c>
      <c r="N1480" t="str">
        <f t="shared" si="162"/>
        <v>1953-12-01</v>
      </c>
      <c r="O1480">
        <f t="shared" si="163"/>
        <v>59</v>
      </c>
      <c r="P1480" t="str">
        <f t="shared" si="164"/>
        <v>kobieta</v>
      </c>
      <c r="Q1480">
        <f t="shared" si="165"/>
        <v>74</v>
      </c>
      <c r="R1480">
        <f t="shared" si="166"/>
        <v>48</v>
      </c>
      <c r="S1480">
        <f t="shared" ca="1" si="167"/>
        <v>0</v>
      </c>
    </row>
    <row r="1481" spans="1:19">
      <c r="A1481" s="1" t="s">
        <v>19</v>
      </c>
      <c r="B1481" s="2">
        <v>500</v>
      </c>
      <c r="C1481" s="1">
        <v>500</v>
      </c>
      <c r="D1481" s="1" t="s">
        <v>1324</v>
      </c>
      <c r="E1481" s="1">
        <v>13</v>
      </c>
      <c r="F1481" s="3">
        <v>1800</v>
      </c>
      <c r="G1481" s="1">
        <v>0</v>
      </c>
      <c r="H1481" s="1" t="s">
        <v>2851</v>
      </c>
      <c r="I1481" s="1" t="s">
        <v>328</v>
      </c>
      <c r="J1481" s="1" t="s">
        <v>16</v>
      </c>
      <c r="K1481" s="1" t="s">
        <v>2829</v>
      </c>
      <c r="L1481" s="1" t="s">
        <v>2704</v>
      </c>
      <c r="M1481">
        <f t="shared" si="161"/>
        <v>500</v>
      </c>
      <c r="N1481" t="str">
        <f t="shared" si="162"/>
        <v>1951-01-24</v>
      </c>
      <c r="O1481">
        <f t="shared" si="163"/>
        <v>61</v>
      </c>
      <c r="P1481" t="str">
        <f t="shared" si="164"/>
        <v>kobieta</v>
      </c>
      <c r="Q1481">
        <f t="shared" si="165"/>
        <v>73</v>
      </c>
      <c r="R1481">
        <f t="shared" si="166"/>
        <v>48</v>
      </c>
      <c r="S1481">
        <f t="shared" ca="1" si="167"/>
        <v>0</v>
      </c>
    </row>
    <row r="1482" spans="1:19">
      <c r="A1482" s="1" t="s">
        <v>19</v>
      </c>
      <c r="B1482" s="2">
        <v>240</v>
      </c>
      <c r="C1482" s="1">
        <v>240</v>
      </c>
      <c r="D1482" s="1" t="s">
        <v>32</v>
      </c>
      <c r="E1482" s="1">
        <v>11</v>
      </c>
      <c r="F1482" s="3">
        <v>1172.2</v>
      </c>
      <c r="G1482" s="1">
        <v>8</v>
      </c>
      <c r="H1482" s="1" t="s">
        <v>2852</v>
      </c>
      <c r="I1482" s="1" t="s">
        <v>34</v>
      </c>
      <c r="J1482" s="1" t="s">
        <v>16</v>
      </c>
      <c r="K1482" s="1" t="s">
        <v>2829</v>
      </c>
      <c r="L1482" s="1" t="s">
        <v>2853</v>
      </c>
      <c r="M1482">
        <f t="shared" si="161"/>
        <v>240</v>
      </c>
      <c r="N1482" t="str">
        <f t="shared" si="162"/>
        <v>1955-08-21</v>
      </c>
      <c r="O1482">
        <f t="shared" si="163"/>
        <v>57</v>
      </c>
      <c r="P1482" t="str">
        <f t="shared" si="164"/>
        <v>kobieta</v>
      </c>
      <c r="Q1482">
        <f t="shared" si="165"/>
        <v>41</v>
      </c>
      <c r="R1482">
        <f t="shared" si="166"/>
        <v>48</v>
      </c>
      <c r="S1482">
        <f t="shared" ca="1" si="167"/>
        <v>3</v>
      </c>
    </row>
    <row r="1483" spans="1:19">
      <c r="A1483" s="1" t="s">
        <v>56</v>
      </c>
      <c r="B1483" s="2">
        <v>500</v>
      </c>
      <c r="C1483" s="1">
        <v>500</v>
      </c>
      <c r="D1483" s="1" t="s">
        <v>2854</v>
      </c>
      <c r="E1483" s="1">
        <v>13</v>
      </c>
      <c r="F1483" s="3">
        <v>1648</v>
      </c>
      <c r="G1483" s="1">
        <v>0</v>
      </c>
      <c r="H1483" s="1" t="s">
        <v>2855</v>
      </c>
      <c r="I1483" s="1" t="s">
        <v>106</v>
      </c>
      <c r="J1483" s="1" t="s">
        <v>16</v>
      </c>
      <c r="K1483" s="1" t="s">
        <v>2829</v>
      </c>
      <c r="L1483" s="1" t="s">
        <v>28</v>
      </c>
      <c r="M1483">
        <f t="shared" si="161"/>
        <v>500</v>
      </c>
      <c r="N1483" t="str">
        <f t="shared" si="162"/>
        <v>1973-06-11</v>
      </c>
      <c r="O1483">
        <f t="shared" si="163"/>
        <v>39</v>
      </c>
      <c r="P1483" t="str">
        <f t="shared" si="164"/>
        <v>mężczyzna</v>
      </c>
      <c r="Q1483">
        <f t="shared" si="165"/>
        <v>17</v>
      </c>
      <c r="R1483">
        <f t="shared" si="166"/>
        <v>48</v>
      </c>
      <c r="S1483">
        <f t="shared" ca="1" si="167"/>
        <v>5144</v>
      </c>
    </row>
    <row r="1484" spans="1:19">
      <c r="A1484" s="1" t="s">
        <v>19</v>
      </c>
      <c r="B1484" s="2">
        <v>643.04999999999995</v>
      </c>
      <c r="C1484" s="1">
        <v>643.04999999999995</v>
      </c>
      <c r="D1484" s="1" t="s">
        <v>749</v>
      </c>
      <c r="E1484" s="1">
        <v>11</v>
      </c>
      <c r="F1484" s="3">
        <v>3200</v>
      </c>
      <c r="G1484" s="1">
        <v>8</v>
      </c>
      <c r="H1484" s="1" t="s">
        <v>2856</v>
      </c>
      <c r="I1484" s="1" t="s">
        <v>751</v>
      </c>
      <c r="J1484" s="1" t="s">
        <v>16</v>
      </c>
      <c r="K1484" s="1" t="s">
        <v>2829</v>
      </c>
      <c r="L1484" s="1" t="s">
        <v>2857</v>
      </c>
      <c r="M1484">
        <f t="shared" si="161"/>
        <v>643.04999999999995</v>
      </c>
      <c r="N1484" t="str">
        <f t="shared" si="162"/>
        <v>1960-12-10</v>
      </c>
      <c r="O1484">
        <f t="shared" si="163"/>
        <v>52</v>
      </c>
      <c r="P1484" t="str">
        <f t="shared" si="164"/>
        <v>kobieta</v>
      </c>
      <c r="Q1484">
        <f t="shared" si="165"/>
        <v>58</v>
      </c>
      <c r="R1484">
        <f t="shared" si="166"/>
        <v>48</v>
      </c>
      <c r="S1484">
        <f t="shared" ca="1" si="167"/>
        <v>1</v>
      </c>
    </row>
    <row r="1485" spans="1:19">
      <c r="A1485" s="1" t="s">
        <v>12</v>
      </c>
      <c r="B1485" s="2">
        <v>585.70000000000005</v>
      </c>
      <c r="C1485" s="1">
        <v>585.70000000000005</v>
      </c>
      <c r="D1485" s="1" t="s">
        <v>409</v>
      </c>
      <c r="E1485" s="1">
        <v>13</v>
      </c>
      <c r="F1485" s="3">
        <v>1050</v>
      </c>
      <c r="G1485" s="1">
        <v>9</v>
      </c>
      <c r="H1485" s="1" t="s">
        <v>2858</v>
      </c>
      <c r="I1485" s="1" t="s">
        <v>411</v>
      </c>
      <c r="J1485" s="1" t="s">
        <v>16</v>
      </c>
      <c r="K1485" s="1" t="s">
        <v>2829</v>
      </c>
      <c r="L1485" s="1" t="s">
        <v>2730</v>
      </c>
      <c r="M1485">
        <f t="shared" si="161"/>
        <v>585.70000000000005</v>
      </c>
      <c r="N1485" t="str">
        <f t="shared" si="162"/>
        <v>1950-08-20</v>
      </c>
      <c r="O1485">
        <f t="shared" si="163"/>
        <v>62</v>
      </c>
      <c r="P1485" t="str">
        <f t="shared" si="164"/>
        <v>kobieta</v>
      </c>
      <c r="Q1485">
        <f t="shared" si="165"/>
        <v>143</v>
      </c>
      <c r="R1485">
        <f t="shared" si="166"/>
        <v>48</v>
      </c>
      <c r="S1485">
        <f t="shared" ca="1" si="167"/>
        <v>0</v>
      </c>
    </row>
    <row r="1486" spans="1:19">
      <c r="A1486" s="1" t="s">
        <v>24</v>
      </c>
      <c r="B1486" s="2">
        <v>200</v>
      </c>
      <c r="C1486" s="1">
        <v>0</v>
      </c>
      <c r="D1486" s="1" t="s">
        <v>2859</v>
      </c>
      <c r="E1486" s="1">
        <v>12</v>
      </c>
      <c r="F1486" s="3">
        <v>1135</v>
      </c>
      <c r="G1486" s="1">
        <v>0</v>
      </c>
      <c r="H1486" s="1" t="s">
        <v>2860</v>
      </c>
      <c r="I1486" s="1" t="s">
        <v>2861</v>
      </c>
      <c r="J1486" s="1" t="s">
        <v>2862</v>
      </c>
      <c r="K1486" s="1" t="s">
        <v>16</v>
      </c>
      <c r="L1486" s="1" t="s">
        <v>28</v>
      </c>
      <c r="M1486">
        <f t="shared" si="161"/>
        <v>200</v>
      </c>
      <c r="N1486" t="str">
        <f t="shared" si="162"/>
        <v>1986-10-15</v>
      </c>
      <c r="O1486">
        <f t="shared" si="163"/>
        <v>26</v>
      </c>
      <c r="P1486" t="str">
        <f t="shared" si="164"/>
        <v>mężczyzna</v>
      </c>
      <c r="Q1486">
        <f t="shared" si="165"/>
        <v>10</v>
      </c>
      <c r="R1486">
        <f t="shared" si="166"/>
        <v>14</v>
      </c>
      <c r="S1486">
        <f t="shared" ca="1" si="167"/>
        <v>0</v>
      </c>
    </row>
    <row r="1487" spans="1:19">
      <c r="A1487" s="1" t="s">
        <v>19</v>
      </c>
      <c r="B1487" s="2">
        <v>700</v>
      </c>
      <c r="C1487" s="1">
        <v>700</v>
      </c>
      <c r="D1487" s="1" t="s">
        <v>2274</v>
      </c>
      <c r="E1487" s="1">
        <v>11</v>
      </c>
      <c r="F1487" s="3">
        <v>2800</v>
      </c>
      <c r="G1487" s="1">
        <v>1</v>
      </c>
      <c r="H1487" s="1" t="s">
        <v>2863</v>
      </c>
      <c r="I1487" s="1" t="s">
        <v>2276</v>
      </c>
      <c r="J1487" s="1" t="s">
        <v>16</v>
      </c>
      <c r="K1487" s="1" t="s">
        <v>2829</v>
      </c>
      <c r="L1487" s="1" t="s">
        <v>2704</v>
      </c>
      <c r="M1487">
        <f t="shared" si="161"/>
        <v>700</v>
      </c>
      <c r="N1487" t="str">
        <f t="shared" si="162"/>
        <v>1952-08-08</v>
      </c>
      <c r="O1487">
        <f t="shared" si="163"/>
        <v>60</v>
      </c>
      <c r="P1487" t="str">
        <f t="shared" si="164"/>
        <v>mężczyzna</v>
      </c>
      <c r="Q1487">
        <f t="shared" si="165"/>
        <v>100</v>
      </c>
      <c r="R1487">
        <f t="shared" si="166"/>
        <v>48</v>
      </c>
      <c r="S1487">
        <f t="shared" ca="1" si="167"/>
        <v>0</v>
      </c>
    </row>
    <row r="1488" spans="1:19">
      <c r="A1488" s="1" t="s">
        <v>19</v>
      </c>
      <c r="B1488" s="2">
        <v>1000</v>
      </c>
      <c r="C1488" s="1">
        <v>1000</v>
      </c>
      <c r="D1488" s="1" t="s">
        <v>243</v>
      </c>
      <c r="E1488" s="1">
        <v>12</v>
      </c>
      <c r="F1488" s="3">
        <v>2500</v>
      </c>
      <c r="G1488" s="1">
        <v>7</v>
      </c>
      <c r="H1488" s="1" t="s">
        <v>2864</v>
      </c>
      <c r="I1488" s="1" t="s">
        <v>245</v>
      </c>
      <c r="J1488" s="1" t="s">
        <v>246</v>
      </c>
      <c r="K1488" s="1" t="s">
        <v>2865</v>
      </c>
      <c r="L1488" s="1" t="s">
        <v>2857</v>
      </c>
      <c r="M1488">
        <f t="shared" si="161"/>
        <v>1000</v>
      </c>
      <c r="N1488" t="str">
        <f t="shared" si="162"/>
        <v>1954-03-09</v>
      </c>
      <c r="O1488">
        <f t="shared" si="163"/>
        <v>58</v>
      </c>
      <c r="P1488" t="str">
        <f t="shared" si="164"/>
        <v>mężczyzna</v>
      </c>
      <c r="Q1488">
        <f t="shared" si="165"/>
        <v>9</v>
      </c>
      <c r="R1488">
        <f t="shared" si="166"/>
        <v>1</v>
      </c>
      <c r="S1488">
        <f t="shared" ca="1" si="167"/>
        <v>0</v>
      </c>
    </row>
    <row r="1489" spans="1:19">
      <c r="A1489" s="1" t="s">
        <v>19</v>
      </c>
      <c r="B1489" s="2">
        <v>200</v>
      </c>
      <c r="C1489" s="1">
        <v>200</v>
      </c>
      <c r="D1489" s="1" t="s">
        <v>2866</v>
      </c>
      <c r="E1489" s="1">
        <v>13</v>
      </c>
      <c r="F1489" s="3">
        <v>1100</v>
      </c>
      <c r="G1489" s="1">
        <v>0</v>
      </c>
      <c r="H1489" s="1" t="s">
        <v>2867</v>
      </c>
      <c r="I1489" s="1" t="s">
        <v>2868</v>
      </c>
      <c r="J1489" s="1" t="s">
        <v>16</v>
      </c>
      <c r="K1489" s="1" t="s">
        <v>2865</v>
      </c>
      <c r="L1489" s="1" t="s">
        <v>2568</v>
      </c>
      <c r="M1489">
        <f t="shared" si="161"/>
        <v>200</v>
      </c>
      <c r="N1489" t="str">
        <f t="shared" si="162"/>
        <v>1934-03-17</v>
      </c>
      <c r="O1489">
        <f t="shared" si="163"/>
        <v>78</v>
      </c>
      <c r="P1489" t="str">
        <f t="shared" si="164"/>
        <v>kobieta</v>
      </c>
      <c r="Q1489">
        <f t="shared" si="165"/>
        <v>252</v>
      </c>
      <c r="R1489">
        <f t="shared" si="166"/>
        <v>48</v>
      </c>
      <c r="S1489">
        <f t="shared" ca="1" si="167"/>
        <v>5</v>
      </c>
    </row>
    <row r="1490" spans="1:19">
      <c r="A1490" s="1" t="s">
        <v>19</v>
      </c>
      <c r="B1490" s="2">
        <v>836</v>
      </c>
      <c r="C1490" s="1">
        <v>836</v>
      </c>
      <c r="D1490" s="1" t="s">
        <v>1094</v>
      </c>
      <c r="E1490" s="1">
        <v>13</v>
      </c>
      <c r="F1490" s="3">
        <v>1362</v>
      </c>
      <c r="G1490" s="1">
        <v>8</v>
      </c>
      <c r="H1490" s="1" t="s">
        <v>2869</v>
      </c>
      <c r="I1490" s="1" t="s">
        <v>1000</v>
      </c>
      <c r="J1490" s="1" t="s">
        <v>16</v>
      </c>
      <c r="K1490" s="1" t="s">
        <v>2865</v>
      </c>
      <c r="L1490" s="1" t="s">
        <v>2853</v>
      </c>
      <c r="M1490">
        <f t="shared" si="161"/>
        <v>836</v>
      </c>
      <c r="N1490" t="str">
        <f t="shared" si="162"/>
        <v>1950-09-11</v>
      </c>
      <c r="O1490">
        <f t="shared" si="163"/>
        <v>62</v>
      </c>
      <c r="P1490" t="str">
        <f t="shared" si="164"/>
        <v>kobieta</v>
      </c>
      <c r="Q1490">
        <f t="shared" si="165"/>
        <v>60</v>
      </c>
      <c r="R1490">
        <f t="shared" si="166"/>
        <v>48</v>
      </c>
      <c r="S1490">
        <f t="shared" ca="1" si="167"/>
        <v>2</v>
      </c>
    </row>
    <row r="1491" spans="1:19">
      <c r="A1491" s="1" t="s">
        <v>19</v>
      </c>
      <c r="B1491" s="2">
        <v>600</v>
      </c>
      <c r="C1491" s="1">
        <v>400</v>
      </c>
      <c r="D1491" s="1" t="s">
        <v>2870</v>
      </c>
      <c r="E1491" s="1">
        <v>13</v>
      </c>
      <c r="F1491" s="3">
        <v>1208</v>
      </c>
      <c r="G1491" s="1">
        <v>0</v>
      </c>
      <c r="H1491" s="1" t="s">
        <v>2871</v>
      </c>
      <c r="I1491" s="1" t="s">
        <v>2872</v>
      </c>
      <c r="J1491" s="1" t="s">
        <v>16</v>
      </c>
      <c r="K1491" s="1" t="s">
        <v>2865</v>
      </c>
      <c r="L1491" s="1" t="s">
        <v>2857</v>
      </c>
      <c r="M1491">
        <f t="shared" si="161"/>
        <v>400</v>
      </c>
      <c r="N1491" t="str">
        <f t="shared" si="162"/>
        <v>1951-07-25</v>
      </c>
      <c r="O1491">
        <f t="shared" si="163"/>
        <v>61</v>
      </c>
      <c r="P1491" t="str">
        <f t="shared" si="164"/>
        <v>kobieta</v>
      </c>
      <c r="Q1491">
        <f t="shared" si="165"/>
        <v>84</v>
      </c>
      <c r="R1491">
        <f t="shared" si="166"/>
        <v>48</v>
      </c>
      <c r="S1491">
        <f t="shared" ca="1" si="167"/>
        <v>0</v>
      </c>
    </row>
    <row r="1492" spans="1:19">
      <c r="A1492" s="1" t="s">
        <v>19</v>
      </c>
      <c r="B1492" s="2">
        <v>400</v>
      </c>
      <c r="C1492" s="1">
        <v>400</v>
      </c>
      <c r="D1492" s="1" t="s">
        <v>2325</v>
      </c>
      <c r="E1492" s="1">
        <v>13</v>
      </c>
      <c r="F1492" s="3">
        <v>1094</v>
      </c>
      <c r="G1492" s="1">
        <v>1</v>
      </c>
      <c r="H1492" s="1" t="s">
        <v>2873</v>
      </c>
      <c r="I1492" s="1" t="s">
        <v>2327</v>
      </c>
      <c r="J1492" s="1" t="s">
        <v>16</v>
      </c>
      <c r="K1492" s="1" t="s">
        <v>2865</v>
      </c>
      <c r="L1492" s="1" t="s">
        <v>2568</v>
      </c>
      <c r="M1492">
        <f t="shared" si="161"/>
        <v>400</v>
      </c>
      <c r="N1492" t="str">
        <f t="shared" si="162"/>
        <v>1944-05-18</v>
      </c>
      <c r="O1492">
        <f t="shared" si="163"/>
        <v>68</v>
      </c>
      <c r="P1492" t="str">
        <f t="shared" si="164"/>
        <v>kobieta</v>
      </c>
      <c r="Q1492">
        <f t="shared" si="165"/>
        <v>188</v>
      </c>
      <c r="R1492">
        <f t="shared" si="166"/>
        <v>48</v>
      </c>
      <c r="S1492">
        <f t="shared" ca="1" si="167"/>
        <v>5</v>
      </c>
    </row>
    <row r="1493" spans="1:19">
      <c r="A1493" s="1" t="s">
        <v>19</v>
      </c>
      <c r="B1493" s="2">
        <v>390.11</v>
      </c>
      <c r="C1493" s="1">
        <v>390.11</v>
      </c>
      <c r="D1493" s="1" t="s">
        <v>1791</v>
      </c>
      <c r="E1493" s="1">
        <v>12</v>
      </c>
      <c r="F1493" s="3">
        <v>1320</v>
      </c>
      <c r="G1493" s="1">
        <v>2</v>
      </c>
      <c r="H1493" s="1" t="s">
        <v>2874</v>
      </c>
      <c r="I1493" s="1" t="s">
        <v>717</v>
      </c>
      <c r="J1493" s="1" t="s">
        <v>1793</v>
      </c>
      <c r="K1493" s="1" t="s">
        <v>2865</v>
      </c>
      <c r="L1493" s="1" t="s">
        <v>2875</v>
      </c>
      <c r="M1493">
        <f t="shared" si="161"/>
        <v>390.11</v>
      </c>
      <c r="N1493" t="str">
        <f t="shared" si="162"/>
        <v>1952-10-27</v>
      </c>
      <c r="O1493">
        <f t="shared" si="163"/>
        <v>60</v>
      </c>
      <c r="P1493" t="str">
        <f t="shared" si="164"/>
        <v>kobieta</v>
      </c>
      <c r="Q1493">
        <f t="shared" si="165"/>
        <v>13</v>
      </c>
      <c r="R1493">
        <f t="shared" si="166"/>
        <v>22</v>
      </c>
      <c r="S1493">
        <f t="shared" ca="1" si="167"/>
        <v>12</v>
      </c>
    </row>
    <row r="1494" spans="1:19">
      <c r="A1494" s="1" t="s">
        <v>19</v>
      </c>
      <c r="B1494" s="2">
        <v>249.9</v>
      </c>
      <c r="C1494" s="1">
        <v>249.9</v>
      </c>
      <c r="D1494" s="1" t="s">
        <v>2267</v>
      </c>
      <c r="E1494" s="1">
        <v>11</v>
      </c>
      <c r="F1494" s="3">
        <v>1600</v>
      </c>
      <c r="G1494" s="1">
        <v>1</v>
      </c>
      <c r="H1494" s="1" t="s">
        <v>2876</v>
      </c>
      <c r="I1494" s="1" t="s">
        <v>27</v>
      </c>
      <c r="J1494" s="1" t="s">
        <v>16</v>
      </c>
      <c r="K1494" s="1" t="s">
        <v>2865</v>
      </c>
      <c r="L1494" s="1" t="s">
        <v>2857</v>
      </c>
      <c r="M1494">
        <f t="shared" si="161"/>
        <v>249.9</v>
      </c>
      <c r="N1494" t="str">
        <f t="shared" si="162"/>
        <v>1986-10-23</v>
      </c>
      <c r="O1494">
        <f t="shared" si="163"/>
        <v>26</v>
      </c>
      <c r="P1494" t="str">
        <f t="shared" si="164"/>
        <v>mężczyzna</v>
      </c>
      <c r="Q1494">
        <f t="shared" si="165"/>
        <v>7</v>
      </c>
      <c r="R1494">
        <f t="shared" si="166"/>
        <v>48</v>
      </c>
      <c r="S1494">
        <f t="shared" ca="1" si="167"/>
        <v>0</v>
      </c>
    </row>
    <row r="1495" spans="1:19">
      <c r="A1495" s="1" t="s">
        <v>309</v>
      </c>
      <c r="B1495" s="2">
        <v>429.69</v>
      </c>
      <c r="C1495" s="1">
        <v>429.69</v>
      </c>
      <c r="D1495" s="1" t="s">
        <v>490</v>
      </c>
      <c r="E1495" s="1">
        <v>11</v>
      </c>
      <c r="F1495" s="3">
        <v>1730.13</v>
      </c>
      <c r="G1495" s="1">
        <v>0</v>
      </c>
      <c r="H1495" s="1" t="s">
        <v>2877</v>
      </c>
      <c r="I1495" s="1" t="s">
        <v>76</v>
      </c>
      <c r="J1495" s="1" t="s">
        <v>16</v>
      </c>
      <c r="K1495" s="1" t="s">
        <v>2865</v>
      </c>
      <c r="L1495" s="1" t="s">
        <v>2878</v>
      </c>
      <c r="M1495">
        <f t="shared" si="161"/>
        <v>429.69</v>
      </c>
      <c r="N1495" t="str">
        <f t="shared" si="162"/>
        <v>1955-04-03</v>
      </c>
      <c r="O1495">
        <f t="shared" si="163"/>
        <v>57</v>
      </c>
      <c r="P1495" t="str">
        <f t="shared" si="164"/>
        <v>kobieta</v>
      </c>
      <c r="Q1495">
        <f t="shared" si="165"/>
        <v>197</v>
      </c>
      <c r="R1495">
        <f t="shared" si="166"/>
        <v>48</v>
      </c>
      <c r="S1495">
        <f t="shared" ca="1" si="167"/>
        <v>239</v>
      </c>
    </row>
    <row r="1496" spans="1:19">
      <c r="A1496" s="1" t="s">
        <v>12</v>
      </c>
      <c r="B1496" s="2">
        <v>500</v>
      </c>
      <c r="C1496" s="1">
        <v>300</v>
      </c>
      <c r="D1496" s="1" t="s">
        <v>2879</v>
      </c>
      <c r="E1496" s="1">
        <v>12</v>
      </c>
      <c r="F1496" s="3">
        <v>1450</v>
      </c>
      <c r="G1496" s="1">
        <v>0</v>
      </c>
      <c r="H1496" s="1" t="s">
        <v>2880</v>
      </c>
      <c r="I1496" s="1" t="s">
        <v>1384</v>
      </c>
      <c r="J1496" s="1" t="s">
        <v>2881</v>
      </c>
      <c r="K1496" s="1" t="s">
        <v>2865</v>
      </c>
      <c r="L1496" s="1" t="s">
        <v>2606</v>
      </c>
      <c r="M1496">
        <f t="shared" si="161"/>
        <v>300</v>
      </c>
      <c r="N1496" t="str">
        <f t="shared" si="162"/>
        <v>1971-03-20</v>
      </c>
      <c r="O1496">
        <f t="shared" si="163"/>
        <v>41</v>
      </c>
      <c r="P1496" t="str">
        <f t="shared" si="164"/>
        <v>kobieta</v>
      </c>
      <c r="Q1496">
        <f t="shared" si="165"/>
        <v>2</v>
      </c>
      <c r="R1496">
        <f t="shared" si="166"/>
        <v>48</v>
      </c>
      <c r="S1496">
        <f t="shared" ca="1" si="167"/>
        <v>0</v>
      </c>
    </row>
    <row r="1497" spans="1:19">
      <c r="A1497" s="1" t="s">
        <v>19</v>
      </c>
      <c r="B1497" s="2">
        <v>281.83999999999997</v>
      </c>
      <c r="C1497" s="1">
        <v>281.83999999999997</v>
      </c>
      <c r="D1497" s="1" t="s">
        <v>793</v>
      </c>
      <c r="E1497" s="1">
        <v>12</v>
      </c>
      <c r="F1497" s="3">
        <v>1032</v>
      </c>
      <c r="G1497" s="1">
        <v>0</v>
      </c>
      <c r="H1497" s="1" t="s">
        <v>2882</v>
      </c>
      <c r="I1497" s="1" t="s">
        <v>795</v>
      </c>
      <c r="J1497" s="1" t="s">
        <v>2108</v>
      </c>
      <c r="K1497" s="1" t="s">
        <v>2865</v>
      </c>
      <c r="L1497" s="1" t="s">
        <v>1943</v>
      </c>
      <c r="M1497">
        <f t="shared" si="161"/>
        <v>281.83999999999997</v>
      </c>
      <c r="N1497" t="str">
        <f t="shared" si="162"/>
        <v>1965-11-24</v>
      </c>
      <c r="O1497">
        <f t="shared" si="163"/>
        <v>47</v>
      </c>
      <c r="P1497" t="str">
        <f t="shared" si="164"/>
        <v>kobieta</v>
      </c>
      <c r="Q1497">
        <f t="shared" si="165"/>
        <v>42</v>
      </c>
      <c r="R1497">
        <f t="shared" si="166"/>
        <v>10</v>
      </c>
      <c r="S1497">
        <f t="shared" ca="1" si="167"/>
        <v>4</v>
      </c>
    </row>
    <row r="1498" spans="1:19">
      <c r="A1498" s="1" t="s">
        <v>19</v>
      </c>
      <c r="B1498" s="2">
        <v>700</v>
      </c>
      <c r="C1498" s="1">
        <v>600</v>
      </c>
      <c r="D1498" s="1" t="s">
        <v>2883</v>
      </c>
      <c r="E1498" s="1">
        <v>13</v>
      </c>
      <c r="F1498" s="3">
        <v>1936</v>
      </c>
      <c r="G1498" s="1">
        <v>0</v>
      </c>
      <c r="H1498" s="1" t="s">
        <v>2884</v>
      </c>
      <c r="I1498" s="1" t="s">
        <v>2885</v>
      </c>
      <c r="J1498" s="1" t="s">
        <v>16</v>
      </c>
      <c r="K1498" s="1" t="s">
        <v>2865</v>
      </c>
      <c r="L1498" s="1" t="s">
        <v>2886</v>
      </c>
      <c r="M1498">
        <f t="shared" si="161"/>
        <v>600</v>
      </c>
      <c r="N1498" t="str">
        <f t="shared" si="162"/>
        <v>1938-07-07</v>
      </c>
      <c r="O1498">
        <f t="shared" si="163"/>
        <v>74</v>
      </c>
      <c r="P1498" t="str">
        <f t="shared" si="164"/>
        <v>kobieta</v>
      </c>
      <c r="Q1498">
        <f t="shared" si="165"/>
        <v>504</v>
      </c>
      <c r="R1498">
        <f t="shared" si="166"/>
        <v>48</v>
      </c>
      <c r="S1498">
        <f t="shared" ca="1" si="167"/>
        <v>8</v>
      </c>
    </row>
    <row r="1499" spans="1:19">
      <c r="A1499" s="1" t="s">
        <v>12</v>
      </c>
      <c r="B1499" s="2">
        <v>600</v>
      </c>
      <c r="C1499" s="1">
        <v>400</v>
      </c>
      <c r="D1499" s="1" t="s">
        <v>2887</v>
      </c>
      <c r="E1499" s="1">
        <v>13</v>
      </c>
      <c r="F1499" s="3">
        <v>1547</v>
      </c>
      <c r="G1499" s="1">
        <v>0</v>
      </c>
      <c r="H1499" s="1" t="s">
        <v>2888</v>
      </c>
      <c r="I1499" s="1" t="s">
        <v>726</v>
      </c>
      <c r="J1499" s="1" t="s">
        <v>16</v>
      </c>
      <c r="K1499" s="1" t="s">
        <v>2865</v>
      </c>
      <c r="L1499" s="1" t="s">
        <v>2704</v>
      </c>
      <c r="M1499">
        <f t="shared" si="161"/>
        <v>400</v>
      </c>
      <c r="N1499" t="str">
        <f t="shared" si="162"/>
        <v>1948-09-15</v>
      </c>
      <c r="O1499">
        <f t="shared" si="163"/>
        <v>64</v>
      </c>
      <c r="P1499" t="str">
        <f t="shared" si="164"/>
        <v>kobieta</v>
      </c>
      <c r="Q1499">
        <f t="shared" si="165"/>
        <v>37</v>
      </c>
      <c r="R1499">
        <f t="shared" si="166"/>
        <v>48</v>
      </c>
      <c r="S1499">
        <f t="shared" ca="1" si="167"/>
        <v>0</v>
      </c>
    </row>
    <row r="1500" spans="1:19">
      <c r="A1500" s="1" t="s">
        <v>12</v>
      </c>
      <c r="B1500" s="2">
        <v>600</v>
      </c>
      <c r="C1500" s="1">
        <v>500</v>
      </c>
      <c r="D1500" s="1" t="s">
        <v>609</v>
      </c>
      <c r="E1500" s="1">
        <v>11</v>
      </c>
      <c r="F1500" s="3">
        <v>2327.94</v>
      </c>
      <c r="G1500" s="1">
        <v>0</v>
      </c>
      <c r="H1500" s="1" t="s">
        <v>2889</v>
      </c>
      <c r="I1500" s="1" t="s">
        <v>611</v>
      </c>
      <c r="J1500" s="1" t="s">
        <v>16</v>
      </c>
      <c r="K1500" s="1" t="s">
        <v>2865</v>
      </c>
      <c r="L1500" s="1" t="s">
        <v>1943</v>
      </c>
      <c r="M1500">
        <f t="shared" si="161"/>
        <v>500</v>
      </c>
      <c r="N1500" t="str">
        <f t="shared" si="162"/>
        <v>1987-05-09</v>
      </c>
      <c r="O1500">
        <f t="shared" si="163"/>
        <v>25</v>
      </c>
      <c r="P1500" t="str">
        <f t="shared" si="164"/>
        <v>mężczyzna</v>
      </c>
      <c r="Q1500">
        <f t="shared" si="165"/>
        <v>39</v>
      </c>
      <c r="R1500">
        <f t="shared" si="166"/>
        <v>48</v>
      </c>
      <c r="S1500">
        <f t="shared" ca="1" si="167"/>
        <v>4</v>
      </c>
    </row>
    <row r="1501" spans="1:19">
      <c r="A1501" s="1" t="s">
        <v>19</v>
      </c>
      <c r="B1501" s="2">
        <v>348.26</v>
      </c>
      <c r="C1501" s="1">
        <v>348.26</v>
      </c>
      <c r="D1501" s="1" t="s">
        <v>1160</v>
      </c>
      <c r="E1501" s="1">
        <v>11</v>
      </c>
      <c r="F1501" s="3">
        <v>2927</v>
      </c>
      <c r="G1501" s="1">
        <v>7</v>
      </c>
      <c r="H1501" s="1" t="s">
        <v>2890</v>
      </c>
      <c r="I1501" s="1" t="s">
        <v>157</v>
      </c>
      <c r="J1501" s="1" t="s">
        <v>16</v>
      </c>
      <c r="K1501" s="1" t="s">
        <v>2865</v>
      </c>
      <c r="L1501" s="1" t="s">
        <v>2857</v>
      </c>
      <c r="M1501">
        <f t="shared" si="161"/>
        <v>348.26</v>
      </c>
      <c r="N1501" t="str">
        <f t="shared" si="162"/>
        <v>1973-07-09</v>
      </c>
      <c r="O1501">
        <f t="shared" si="163"/>
        <v>39</v>
      </c>
      <c r="P1501" t="str">
        <f t="shared" si="164"/>
        <v>kobieta</v>
      </c>
      <c r="Q1501">
        <f t="shared" si="165"/>
        <v>205</v>
      </c>
      <c r="R1501">
        <f t="shared" si="166"/>
        <v>48</v>
      </c>
      <c r="S1501">
        <f t="shared" ca="1" si="167"/>
        <v>0</v>
      </c>
    </row>
    <row r="1502" spans="1:19">
      <c r="A1502" s="1" t="s">
        <v>12</v>
      </c>
      <c r="B1502" s="2">
        <v>300</v>
      </c>
      <c r="C1502" s="1">
        <v>300</v>
      </c>
      <c r="D1502" s="1" t="s">
        <v>2891</v>
      </c>
      <c r="E1502" s="1">
        <v>16</v>
      </c>
      <c r="F1502" s="3">
        <v>1865</v>
      </c>
      <c r="G1502" s="1">
        <v>0</v>
      </c>
      <c r="H1502" s="1" t="s">
        <v>2892</v>
      </c>
      <c r="I1502" s="1" t="s">
        <v>2893</v>
      </c>
      <c r="J1502" s="1" t="s">
        <v>16</v>
      </c>
      <c r="K1502" s="1" t="s">
        <v>2865</v>
      </c>
      <c r="L1502" s="1" t="s">
        <v>2730</v>
      </c>
      <c r="M1502">
        <f t="shared" si="161"/>
        <v>300</v>
      </c>
      <c r="N1502" t="str">
        <f t="shared" si="162"/>
        <v>1951-06-09</v>
      </c>
      <c r="O1502">
        <f t="shared" si="163"/>
        <v>61</v>
      </c>
      <c r="P1502" t="str">
        <f t="shared" si="164"/>
        <v>mężczyzna</v>
      </c>
      <c r="Q1502">
        <f t="shared" si="165"/>
        <v>336</v>
      </c>
      <c r="R1502">
        <f t="shared" si="166"/>
        <v>48</v>
      </c>
      <c r="S1502">
        <f t="shared" ca="1" si="167"/>
        <v>0</v>
      </c>
    </row>
    <row r="1503" spans="1:19">
      <c r="A1503" s="1" t="s">
        <v>19</v>
      </c>
      <c r="B1503" s="2">
        <v>500</v>
      </c>
      <c r="C1503" s="1">
        <v>500</v>
      </c>
      <c r="D1503" s="1" t="s">
        <v>439</v>
      </c>
      <c r="E1503" s="1">
        <v>13</v>
      </c>
      <c r="F1503" s="3">
        <v>1879</v>
      </c>
      <c r="G1503" s="1">
        <v>0</v>
      </c>
      <c r="H1503" s="1" t="s">
        <v>2894</v>
      </c>
      <c r="I1503" s="1" t="s">
        <v>441</v>
      </c>
      <c r="J1503" s="1" t="s">
        <v>16</v>
      </c>
      <c r="K1503" s="1" t="s">
        <v>2865</v>
      </c>
      <c r="L1503" s="1" t="s">
        <v>2743</v>
      </c>
      <c r="M1503">
        <f t="shared" si="161"/>
        <v>500</v>
      </c>
      <c r="N1503" t="str">
        <f t="shared" si="162"/>
        <v>1949-06-22</v>
      </c>
      <c r="O1503">
        <f t="shared" si="163"/>
        <v>63</v>
      </c>
      <c r="P1503" t="str">
        <f t="shared" si="164"/>
        <v>kobieta</v>
      </c>
      <c r="Q1503">
        <f t="shared" si="165"/>
        <v>40</v>
      </c>
      <c r="R1503">
        <f t="shared" si="166"/>
        <v>48</v>
      </c>
      <c r="S1503">
        <f t="shared" ca="1" si="167"/>
        <v>1</v>
      </c>
    </row>
    <row r="1504" spans="1:19">
      <c r="A1504" s="1" t="s">
        <v>19</v>
      </c>
      <c r="B1504" s="2">
        <v>1000</v>
      </c>
      <c r="C1504" s="1">
        <v>600</v>
      </c>
      <c r="D1504" s="1" t="s">
        <v>2895</v>
      </c>
      <c r="E1504" s="1">
        <v>98</v>
      </c>
      <c r="F1504" s="3">
        <v>5000</v>
      </c>
      <c r="G1504" s="1">
        <v>0</v>
      </c>
      <c r="H1504" s="1" t="s">
        <v>2896</v>
      </c>
      <c r="I1504" s="1" t="s">
        <v>2897</v>
      </c>
      <c r="J1504" s="1" t="s">
        <v>16</v>
      </c>
      <c r="K1504" s="1" t="s">
        <v>2865</v>
      </c>
      <c r="L1504" s="1" t="s">
        <v>1943</v>
      </c>
      <c r="M1504">
        <f t="shared" si="161"/>
        <v>600</v>
      </c>
      <c r="N1504" t="str">
        <f t="shared" si="162"/>
        <v>1988-04-13</v>
      </c>
      <c r="O1504">
        <f t="shared" si="163"/>
        <v>24</v>
      </c>
      <c r="P1504" t="str">
        <f t="shared" si="164"/>
        <v>kobieta</v>
      </c>
      <c r="Q1504">
        <f t="shared" si="165"/>
        <v>5</v>
      </c>
      <c r="R1504">
        <f t="shared" si="166"/>
        <v>48</v>
      </c>
      <c r="S1504">
        <f t="shared" ca="1" si="167"/>
        <v>4</v>
      </c>
    </row>
    <row r="1505" spans="1:19">
      <c r="A1505" s="1" t="s">
        <v>24</v>
      </c>
      <c r="B1505" s="2">
        <v>500</v>
      </c>
      <c r="C1505" s="1">
        <v>0</v>
      </c>
      <c r="D1505" s="1" t="s">
        <v>2898</v>
      </c>
      <c r="E1505" s="1">
        <v>12</v>
      </c>
      <c r="F1505" s="3">
        <v>1036</v>
      </c>
      <c r="G1505" s="1">
        <v>0</v>
      </c>
      <c r="H1505" s="1" t="s">
        <v>2899</v>
      </c>
      <c r="I1505" s="1" t="s">
        <v>395</v>
      </c>
      <c r="J1505" s="1" t="s">
        <v>2108</v>
      </c>
      <c r="K1505" s="1" t="s">
        <v>16</v>
      </c>
      <c r="L1505" s="1" t="s">
        <v>28</v>
      </c>
      <c r="M1505">
        <f t="shared" si="161"/>
        <v>500</v>
      </c>
      <c r="N1505" t="str">
        <f t="shared" si="162"/>
        <v>1956-06-12</v>
      </c>
      <c r="O1505">
        <f t="shared" si="163"/>
        <v>56</v>
      </c>
      <c r="P1505" t="str">
        <f t="shared" si="164"/>
        <v>kobieta</v>
      </c>
      <c r="Q1505">
        <f t="shared" si="165"/>
        <v>16</v>
      </c>
      <c r="R1505">
        <f t="shared" si="166"/>
        <v>10</v>
      </c>
      <c r="S1505">
        <f t="shared" ca="1" si="167"/>
        <v>0</v>
      </c>
    </row>
    <row r="1506" spans="1:19">
      <c r="A1506" s="1" t="s">
        <v>19</v>
      </c>
      <c r="B1506" s="2">
        <v>700</v>
      </c>
      <c r="C1506" s="1">
        <v>700</v>
      </c>
      <c r="D1506" s="1" t="s">
        <v>1009</v>
      </c>
      <c r="E1506" s="1">
        <v>16</v>
      </c>
      <c r="F1506" s="3">
        <v>980</v>
      </c>
      <c r="G1506" s="1">
        <v>2</v>
      </c>
      <c r="H1506" s="1" t="s">
        <v>2900</v>
      </c>
      <c r="I1506" s="1" t="s">
        <v>1011</v>
      </c>
      <c r="J1506" s="1" t="s">
        <v>16</v>
      </c>
      <c r="K1506" s="1" t="s">
        <v>2865</v>
      </c>
      <c r="L1506" s="1" t="s">
        <v>2901</v>
      </c>
      <c r="M1506">
        <f t="shared" si="161"/>
        <v>700</v>
      </c>
      <c r="N1506" t="str">
        <f t="shared" si="162"/>
        <v>1943-05-11</v>
      </c>
      <c r="O1506">
        <f t="shared" si="163"/>
        <v>69</v>
      </c>
      <c r="P1506" t="str">
        <f t="shared" si="164"/>
        <v>kobieta</v>
      </c>
      <c r="Q1506">
        <f t="shared" si="165"/>
        <v>135</v>
      </c>
      <c r="R1506">
        <f t="shared" si="166"/>
        <v>48</v>
      </c>
      <c r="S1506">
        <f t="shared" ca="1" si="167"/>
        <v>7</v>
      </c>
    </row>
    <row r="1507" spans="1:19">
      <c r="A1507" s="1" t="s">
        <v>19</v>
      </c>
      <c r="B1507" s="2">
        <v>1000</v>
      </c>
      <c r="C1507" s="1">
        <v>500</v>
      </c>
      <c r="D1507" s="1" t="s">
        <v>2902</v>
      </c>
      <c r="E1507" s="1">
        <v>11</v>
      </c>
      <c r="F1507" s="3">
        <v>1200</v>
      </c>
      <c r="G1507" s="1">
        <v>0</v>
      </c>
      <c r="H1507" s="1" t="s">
        <v>2903</v>
      </c>
      <c r="I1507" s="1" t="s">
        <v>2904</v>
      </c>
      <c r="J1507" s="1" t="s">
        <v>16</v>
      </c>
      <c r="K1507" s="1" t="s">
        <v>2865</v>
      </c>
      <c r="L1507" s="1" t="s">
        <v>2857</v>
      </c>
      <c r="M1507">
        <f t="shared" si="161"/>
        <v>500</v>
      </c>
      <c r="N1507" t="str">
        <f t="shared" si="162"/>
        <v>1958-08-19</v>
      </c>
      <c r="O1507">
        <f t="shared" si="163"/>
        <v>54</v>
      </c>
      <c r="P1507" t="str">
        <f t="shared" si="164"/>
        <v>mężczyzna</v>
      </c>
      <c r="Q1507">
        <f t="shared" si="165"/>
        <v>217</v>
      </c>
      <c r="R1507">
        <f t="shared" si="166"/>
        <v>48</v>
      </c>
      <c r="S1507">
        <f t="shared" ca="1" si="167"/>
        <v>0</v>
      </c>
    </row>
    <row r="1508" spans="1:19">
      <c r="A1508" s="1" t="s">
        <v>19</v>
      </c>
      <c r="B1508" s="2">
        <v>300</v>
      </c>
      <c r="C1508" s="1">
        <v>300</v>
      </c>
      <c r="D1508" s="1" t="s">
        <v>2307</v>
      </c>
      <c r="E1508" s="1">
        <v>11</v>
      </c>
      <c r="F1508" s="3">
        <v>2725</v>
      </c>
      <c r="G1508" s="1">
        <v>1</v>
      </c>
      <c r="H1508" s="1" t="s">
        <v>2905</v>
      </c>
      <c r="I1508" s="1" t="s">
        <v>2309</v>
      </c>
      <c r="J1508" s="1" t="s">
        <v>16</v>
      </c>
      <c r="K1508" s="1" t="s">
        <v>2865</v>
      </c>
      <c r="L1508" s="1" t="s">
        <v>2857</v>
      </c>
      <c r="M1508">
        <f t="shared" si="161"/>
        <v>300</v>
      </c>
      <c r="N1508" t="str">
        <f t="shared" si="162"/>
        <v>1980-09-24</v>
      </c>
      <c r="O1508">
        <f t="shared" si="163"/>
        <v>32</v>
      </c>
      <c r="P1508" t="str">
        <f t="shared" si="164"/>
        <v>mężczyzna</v>
      </c>
      <c r="Q1508">
        <f t="shared" si="165"/>
        <v>57</v>
      </c>
      <c r="R1508">
        <f t="shared" si="166"/>
        <v>48</v>
      </c>
      <c r="S1508">
        <f t="shared" ca="1" si="167"/>
        <v>0</v>
      </c>
    </row>
    <row r="1509" spans="1:19">
      <c r="A1509" s="1" t="s">
        <v>19</v>
      </c>
      <c r="B1509" s="2">
        <v>481.74</v>
      </c>
      <c r="C1509" s="1">
        <v>481.74</v>
      </c>
      <c r="D1509" s="1" t="s">
        <v>1304</v>
      </c>
      <c r="E1509" s="1">
        <v>13</v>
      </c>
      <c r="F1509" s="3">
        <v>1500</v>
      </c>
      <c r="G1509" s="1">
        <v>3</v>
      </c>
      <c r="H1509" s="1" t="s">
        <v>2906</v>
      </c>
      <c r="I1509" s="1" t="s">
        <v>1306</v>
      </c>
      <c r="J1509" s="1" t="s">
        <v>16</v>
      </c>
      <c r="K1509" s="1" t="s">
        <v>2907</v>
      </c>
      <c r="L1509" s="1" t="s">
        <v>2476</v>
      </c>
      <c r="M1509">
        <f t="shared" si="161"/>
        <v>481.74</v>
      </c>
      <c r="N1509" t="str">
        <f t="shared" si="162"/>
        <v>1964-11-11</v>
      </c>
      <c r="O1509">
        <f t="shared" si="163"/>
        <v>48</v>
      </c>
      <c r="P1509" t="str">
        <f t="shared" si="164"/>
        <v>mężczyzna</v>
      </c>
      <c r="Q1509">
        <f t="shared" si="165"/>
        <v>90</v>
      </c>
      <c r="R1509">
        <f t="shared" si="166"/>
        <v>48</v>
      </c>
      <c r="S1509">
        <f t="shared" ca="1" si="167"/>
        <v>0</v>
      </c>
    </row>
    <row r="1510" spans="1:19">
      <c r="A1510" s="1" t="s">
        <v>12</v>
      </c>
      <c r="B1510" s="2">
        <v>500</v>
      </c>
      <c r="C1510" s="1">
        <v>300</v>
      </c>
      <c r="D1510" s="1" t="s">
        <v>2908</v>
      </c>
      <c r="E1510" s="1">
        <v>99</v>
      </c>
      <c r="F1510" s="3">
        <v>900</v>
      </c>
      <c r="G1510" s="1">
        <v>0</v>
      </c>
      <c r="H1510" s="1" t="s">
        <v>2909</v>
      </c>
      <c r="I1510" s="1" t="s">
        <v>2872</v>
      </c>
      <c r="J1510" s="1" t="s">
        <v>2108</v>
      </c>
      <c r="K1510" s="1" t="s">
        <v>2907</v>
      </c>
      <c r="L1510" s="1" t="s">
        <v>2704</v>
      </c>
      <c r="M1510">
        <f t="shared" si="161"/>
        <v>300</v>
      </c>
      <c r="N1510" t="str">
        <f t="shared" si="162"/>
        <v>1952-11-11</v>
      </c>
      <c r="O1510">
        <f t="shared" si="163"/>
        <v>60</v>
      </c>
      <c r="P1510" t="str">
        <f t="shared" si="164"/>
        <v>kobieta</v>
      </c>
      <c r="Q1510">
        <f t="shared" si="165"/>
        <v>84</v>
      </c>
      <c r="R1510">
        <f t="shared" si="166"/>
        <v>10</v>
      </c>
      <c r="S1510">
        <f t="shared" ca="1" si="167"/>
        <v>0</v>
      </c>
    </row>
    <row r="1511" spans="1:19">
      <c r="A1511" s="1" t="s">
        <v>12</v>
      </c>
      <c r="B1511" s="2">
        <v>1000</v>
      </c>
      <c r="C1511" s="1">
        <v>1000</v>
      </c>
      <c r="D1511" s="1" t="s">
        <v>1377</v>
      </c>
      <c r="E1511" s="1">
        <v>11</v>
      </c>
      <c r="F1511" s="3">
        <v>1900</v>
      </c>
      <c r="G1511" s="1">
        <v>0</v>
      </c>
      <c r="H1511" s="1" t="s">
        <v>2910</v>
      </c>
      <c r="I1511" s="1" t="s">
        <v>1379</v>
      </c>
      <c r="J1511" s="1" t="s">
        <v>16</v>
      </c>
      <c r="K1511" s="1" t="s">
        <v>2907</v>
      </c>
      <c r="L1511" s="1" t="s">
        <v>2911</v>
      </c>
      <c r="M1511">
        <f t="shared" si="161"/>
        <v>1000</v>
      </c>
      <c r="N1511" t="str">
        <f t="shared" si="162"/>
        <v>1975-02-04</v>
      </c>
      <c r="O1511">
        <f t="shared" si="163"/>
        <v>37</v>
      </c>
      <c r="P1511" t="str">
        <f t="shared" si="164"/>
        <v>kobieta</v>
      </c>
      <c r="Q1511">
        <f t="shared" si="165"/>
        <v>183</v>
      </c>
      <c r="R1511">
        <f t="shared" si="166"/>
        <v>48</v>
      </c>
      <c r="S1511">
        <f t="shared" ca="1" si="167"/>
        <v>13</v>
      </c>
    </row>
    <row r="1512" spans="1:19">
      <c r="A1512" s="1" t="s">
        <v>19</v>
      </c>
      <c r="B1512" s="2">
        <v>300</v>
      </c>
      <c r="C1512" s="1">
        <v>300</v>
      </c>
      <c r="D1512" s="1" t="s">
        <v>2912</v>
      </c>
      <c r="E1512" s="1">
        <v>13</v>
      </c>
      <c r="F1512" s="3">
        <v>1257</v>
      </c>
      <c r="G1512" s="1">
        <v>0</v>
      </c>
      <c r="H1512" s="1" t="s">
        <v>2913</v>
      </c>
      <c r="I1512" s="1" t="s">
        <v>2585</v>
      </c>
      <c r="J1512" s="1" t="s">
        <v>16</v>
      </c>
      <c r="K1512" s="1" t="s">
        <v>2907</v>
      </c>
      <c r="L1512" s="1" t="s">
        <v>1943</v>
      </c>
      <c r="M1512">
        <f t="shared" si="161"/>
        <v>300</v>
      </c>
      <c r="N1512" t="str">
        <f t="shared" si="162"/>
        <v>1941-02-21</v>
      </c>
      <c r="O1512">
        <f t="shared" si="163"/>
        <v>71</v>
      </c>
      <c r="P1512" t="str">
        <f t="shared" si="164"/>
        <v>kobieta</v>
      </c>
      <c r="Q1512">
        <f t="shared" si="165"/>
        <v>132</v>
      </c>
      <c r="R1512">
        <f t="shared" si="166"/>
        <v>48</v>
      </c>
      <c r="S1512">
        <f t="shared" ca="1" si="167"/>
        <v>3</v>
      </c>
    </row>
    <row r="1513" spans="1:19">
      <c r="A1513" s="1" t="s">
        <v>19</v>
      </c>
      <c r="B1513" s="2">
        <v>300</v>
      </c>
      <c r="C1513" s="1">
        <v>300</v>
      </c>
      <c r="D1513" s="1" t="s">
        <v>536</v>
      </c>
      <c r="E1513" s="1">
        <v>13</v>
      </c>
      <c r="F1513" s="3">
        <v>2110</v>
      </c>
      <c r="G1513" s="1">
        <v>2</v>
      </c>
      <c r="H1513" s="1" t="s">
        <v>2914</v>
      </c>
      <c r="I1513" s="1" t="s">
        <v>538</v>
      </c>
      <c r="J1513" s="1" t="s">
        <v>16</v>
      </c>
      <c r="K1513" s="1" t="s">
        <v>2907</v>
      </c>
      <c r="L1513" s="1" t="s">
        <v>2743</v>
      </c>
      <c r="M1513">
        <f t="shared" si="161"/>
        <v>300</v>
      </c>
      <c r="N1513" t="str">
        <f t="shared" si="162"/>
        <v>1945-12-02</v>
      </c>
      <c r="O1513">
        <f t="shared" si="163"/>
        <v>67</v>
      </c>
      <c r="P1513" t="str">
        <f t="shared" si="164"/>
        <v>mężczyzna</v>
      </c>
      <c r="Q1513">
        <f t="shared" si="165"/>
        <v>105</v>
      </c>
      <c r="R1513">
        <f t="shared" si="166"/>
        <v>48</v>
      </c>
      <c r="S1513">
        <f t="shared" ca="1" si="167"/>
        <v>0</v>
      </c>
    </row>
    <row r="1514" spans="1:19">
      <c r="A1514" s="1" t="s">
        <v>19</v>
      </c>
      <c r="B1514" s="2">
        <v>584.54</v>
      </c>
      <c r="C1514" s="1">
        <v>584.54</v>
      </c>
      <c r="D1514" s="1" t="s">
        <v>923</v>
      </c>
      <c r="E1514" s="1">
        <v>13</v>
      </c>
      <c r="F1514" s="3">
        <v>2474</v>
      </c>
      <c r="G1514" s="1">
        <v>1</v>
      </c>
      <c r="H1514" s="1" t="s">
        <v>2915</v>
      </c>
      <c r="I1514" s="1" t="s">
        <v>925</v>
      </c>
      <c r="J1514" s="1" t="s">
        <v>16</v>
      </c>
      <c r="K1514" s="1" t="s">
        <v>2907</v>
      </c>
      <c r="L1514" s="1" t="s">
        <v>2857</v>
      </c>
      <c r="M1514">
        <f t="shared" si="161"/>
        <v>584.54</v>
      </c>
      <c r="N1514" t="str">
        <f t="shared" si="162"/>
        <v>1949-02-26</v>
      </c>
      <c r="O1514">
        <f t="shared" si="163"/>
        <v>63</v>
      </c>
      <c r="P1514" t="str">
        <f t="shared" si="164"/>
        <v>mężczyzna</v>
      </c>
      <c r="Q1514">
        <f t="shared" si="165"/>
        <v>19</v>
      </c>
      <c r="R1514">
        <f t="shared" si="166"/>
        <v>48</v>
      </c>
      <c r="S1514">
        <f t="shared" ca="1" si="167"/>
        <v>0</v>
      </c>
    </row>
    <row r="1515" spans="1:19">
      <c r="A1515" s="1" t="s">
        <v>19</v>
      </c>
      <c r="B1515" s="2">
        <v>780</v>
      </c>
      <c r="C1515" s="1">
        <v>780</v>
      </c>
      <c r="D1515" s="1" t="s">
        <v>126</v>
      </c>
      <c r="E1515" s="1">
        <v>12</v>
      </c>
      <c r="F1515" s="3">
        <v>830.46</v>
      </c>
      <c r="G1515" s="1">
        <v>7</v>
      </c>
      <c r="H1515" s="1" t="s">
        <v>2916</v>
      </c>
      <c r="I1515" s="1" t="s">
        <v>128</v>
      </c>
      <c r="J1515" s="1" t="s">
        <v>129</v>
      </c>
      <c r="K1515" s="1" t="s">
        <v>2907</v>
      </c>
      <c r="L1515" s="1" t="s">
        <v>2911</v>
      </c>
      <c r="M1515">
        <f t="shared" si="161"/>
        <v>780</v>
      </c>
      <c r="N1515" t="str">
        <f t="shared" si="162"/>
        <v>1964-04-12</v>
      </c>
      <c r="O1515">
        <f t="shared" si="163"/>
        <v>48</v>
      </c>
      <c r="P1515" t="str">
        <f t="shared" si="164"/>
        <v>kobieta</v>
      </c>
      <c r="Q1515">
        <f t="shared" si="165"/>
        <v>49</v>
      </c>
      <c r="R1515">
        <f t="shared" si="166"/>
        <v>22</v>
      </c>
      <c r="S1515">
        <f t="shared" ca="1" si="167"/>
        <v>13</v>
      </c>
    </row>
    <row r="1516" spans="1:19">
      <c r="A1516" s="1" t="s">
        <v>19</v>
      </c>
      <c r="B1516" s="2">
        <v>292.27999999999997</v>
      </c>
      <c r="C1516" s="1">
        <v>292.27999999999997</v>
      </c>
      <c r="D1516" s="1" t="s">
        <v>67</v>
      </c>
      <c r="E1516" s="1">
        <v>13</v>
      </c>
      <c r="F1516" s="3">
        <v>1428.55</v>
      </c>
      <c r="G1516" s="1">
        <v>2</v>
      </c>
      <c r="H1516" s="1" t="s">
        <v>2917</v>
      </c>
      <c r="I1516" s="1" t="s">
        <v>69</v>
      </c>
      <c r="J1516" s="1" t="s">
        <v>16</v>
      </c>
      <c r="K1516" s="1" t="s">
        <v>2907</v>
      </c>
      <c r="L1516" s="1" t="s">
        <v>2901</v>
      </c>
      <c r="M1516">
        <f t="shared" si="161"/>
        <v>292.27999999999997</v>
      </c>
      <c r="N1516" t="str">
        <f t="shared" si="162"/>
        <v>1945-05-17</v>
      </c>
      <c r="O1516">
        <f t="shared" si="163"/>
        <v>67</v>
      </c>
      <c r="P1516" t="str">
        <f t="shared" si="164"/>
        <v>kobieta</v>
      </c>
      <c r="Q1516">
        <f t="shared" si="165"/>
        <v>141</v>
      </c>
      <c r="R1516">
        <f t="shared" si="166"/>
        <v>48</v>
      </c>
      <c r="S1516">
        <f t="shared" ca="1" si="167"/>
        <v>6</v>
      </c>
    </row>
    <row r="1517" spans="1:19">
      <c r="A1517" s="1" t="s">
        <v>12</v>
      </c>
      <c r="B1517" s="2">
        <v>200</v>
      </c>
      <c r="C1517" s="1">
        <v>200</v>
      </c>
      <c r="D1517" s="1" t="s">
        <v>687</v>
      </c>
      <c r="E1517" s="1">
        <v>11</v>
      </c>
      <c r="F1517" s="3">
        <v>1000</v>
      </c>
      <c r="G1517" s="1">
        <v>0</v>
      </c>
      <c r="H1517" s="1" t="s">
        <v>2918</v>
      </c>
      <c r="I1517" s="1" t="s">
        <v>689</v>
      </c>
      <c r="J1517" s="1" t="s">
        <v>16</v>
      </c>
      <c r="K1517" s="1" t="s">
        <v>2907</v>
      </c>
      <c r="L1517" s="1" t="s">
        <v>1943</v>
      </c>
      <c r="M1517">
        <f t="shared" si="161"/>
        <v>200</v>
      </c>
      <c r="N1517" t="str">
        <f t="shared" si="162"/>
        <v>1970-08-10</v>
      </c>
      <c r="O1517">
        <f t="shared" si="163"/>
        <v>42</v>
      </c>
      <c r="P1517" t="str">
        <f t="shared" si="164"/>
        <v>kobieta</v>
      </c>
      <c r="Q1517">
        <f t="shared" si="165"/>
        <v>65</v>
      </c>
      <c r="R1517">
        <f t="shared" si="166"/>
        <v>48</v>
      </c>
      <c r="S1517">
        <f t="shared" ca="1" si="167"/>
        <v>3</v>
      </c>
    </row>
    <row r="1518" spans="1:19">
      <c r="A1518" s="1" t="s">
        <v>19</v>
      </c>
      <c r="B1518" s="2">
        <v>500</v>
      </c>
      <c r="C1518" s="1">
        <v>500</v>
      </c>
      <c r="D1518" s="1" t="s">
        <v>658</v>
      </c>
      <c r="E1518" s="1">
        <v>11</v>
      </c>
      <c r="F1518" s="3">
        <v>2011</v>
      </c>
      <c r="G1518" s="1">
        <v>2</v>
      </c>
      <c r="H1518" s="1" t="s">
        <v>2919</v>
      </c>
      <c r="I1518" s="1" t="s">
        <v>660</v>
      </c>
      <c r="J1518" s="1" t="s">
        <v>16</v>
      </c>
      <c r="K1518" s="1" t="s">
        <v>2907</v>
      </c>
      <c r="L1518" s="1" t="s">
        <v>2568</v>
      </c>
      <c r="M1518">
        <f t="shared" si="161"/>
        <v>500</v>
      </c>
      <c r="N1518" t="str">
        <f t="shared" si="162"/>
        <v>1959-07-09</v>
      </c>
      <c r="O1518">
        <f t="shared" si="163"/>
        <v>53</v>
      </c>
      <c r="P1518" t="str">
        <f t="shared" si="164"/>
        <v>mężczyzna</v>
      </c>
      <c r="Q1518">
        <f t="shared" si="165"/>
        <v>215</v>
      </c>
      <c r="R1518">
        <f t="shared" si="166"/>
        <v>48</v>
      </c>
      <c r="S1518">
        <f t="shared" ca="1" si="167"/>
        <v>4</v>
      </c>
    </row>
    <row r="1519" spans="1:19">
      <c r="A1519" s="1" t="s">
        <v>24</v>
      </c>
      <c r="B1519" s="2">
        <v>500</v>
      </c>
      <c r="C1519" s="1">
        <v>0</v>
      </c>
      <c r="D1519" s="1" t="s">
        <v>2920</v>
      </c>
      <c r="E1519" s="1">
        <v>12</v>
      </c>
      <c r="F1519" s="3">
        <v>1400</v>
      </c>
      <c r="G1519" s="1">
        <v>0</v>
      </c>
      <c r="H1519" s="1" t="s">
        <v>2921</v>
      </c>
      <c r="I1519" s="1" t="s">
        <v>300</v>
      </c>
      <c r="J1519" s="1" t="s">
        <v>1924</v>
      </c>
      <c r="K1519" s="1" t="s">
        <v>16</v>
      </c>
      <c r="L1519" s="1" t="s">
        <v>28</v>
      </c>
      <c r="M1519">
        <f t="shared" si="161"/>
        <v>500</v>
      </c>
      <c r="N1519" t="str">
        <f t="shared" si="162"/>
        <v>1960-02-27</v>
      </c>
      <c r="O1519">
        <f t="shared" si="163"/>
        <v>52</v>
      </c>
      <c r="P1519" t="str">
        <f t="shared" si="164"/>
        <v>mężczyzna</v>
      </c>
      <c r="Q1519">
        <f t="shared" si="165"/>
        <v>24</v>
      </c>
      <c r="R1519">
        <f t="shared" si="166"/>
        <v>10</v>
      </c>
      <c r="S1519">
        <f t="shared" ca="1" si="167"/>
        <v>0</v>
      </c>
    </row>
    <row r="1520" spans="1:19">
      <c r="A1520" s="1" t="s">
        <v>19</v>
      </c>
      <c r="B1520" s="2">
        <v>800</v>
      </c>
      <c r="C1520" s="1">
        <v>300</v>
      </c>
      <c r="D1520" s="1" t="s">
        <v>2922</v>
      </c>
      <c r="E1520" s="1">
        <v>12</v>
      </c>
      <c r="F1520" s="3">
        <v>2100</v>
      </c>
      <c r="G1520" s="1">
        <v>0</v>
      </c>
      <c r="H1520" s="1" t="s">
        <v>2923</v>
      </c>
      <c r="I1520" s="1" t="s">
        <v>2924</v>
      </c>
      <c r="J1520" s="1" t="s">
        <v>2108</v>
      </c>
      <c r="K1520" s="1" t="s">
        <v>2907</v>
      </c>
      <c r="L1520" s="1" t="s">
        <v>2704</v>
      </c>
      <c r="M1520">
        <f t="shared" si="161"/>
        <v>300</v>
      </c>
      <c r="N1520" t="str">
        <f t="shared" si="162"/>
        <v>1981-10-19</v>
      </c>
      <c r="O1520">
        <f t="shared" si="163"/>
        <v>31</v>
      </c>
      <c r="P1520" t="str">
        <f t="shared" si="164"/>
        <v>mężczyzna</v>
      </c>
      <c r="Q1520">
        <f t="shared" si="165"/>
        <v>4</v>
      </c>
      <c r="R1520">
        <f t="shared" si="166"/>
        <v>10</v>
      </c>
      <c r="S1520">
        <f t="shared" ca="1" si="167"/>
        <v>0</v>
      </c>
    </row>
    <row r="1521" spans="1:19">
      <c r="A1521" s="1" t="s">
        <v>12</v>
      </c>
      <c r="B1521" s="2">
        <v>200</v>
      </c>
      <c r="C1521" s="1">
        <v>200</v>
      </c>
      <c r="D1521" s="1" t="s">
        <v>446</v>
      </c>
      <c r="E1521" s="1">
        <v>11</v>
      </c>
      <c r="F1521" s="3">
        <v>2100</v>
      </c>
      <c r="G1521" s="1">
        <v>4</v>
      </c>
      <c r="H1521" s="1" t="s">
        <v>2925</v>
      </c>
      <c r="I1521" s="1" t="s">
        <v>448</v>
      </c>
      <c r="J1521" s="1" t="s">
        <v>16</v>
      </c>
      <c r="K1521" s="1" t="s">
        <v>2907</v>
      </c>
      <c r="L1521" s="1" t="s">
        <v>2857</v>
      </c>
      <c r="M1521">
        <f t="shared" si="161"/>
        <v>200</v>
      </c>
      <c r="N1521" t="str">
        <f t="shared" si="162"/>
        <v>1966-01-30</v>
      </c>
      <c r="O1521">
        <f t="shared" si="163"/>
        <v>46</v>
      </c>
      <c r="P1521" t="str">
        <f t="shared" si="164"/>
        <v>mężczyzna</v>
      </c>
      <c r="Q1521">
        <f t="shared" si="165"/>
        <v>54</v>
      </c>
      <c r="R1521">
        <f t="shared" si="166"/>
        <v>48</v>
      </c>
      <c r="S1521">
        <f t="shared" ca="1" si="167"/>
        <v>0</v>
      </c>
    </row>
    <row r="1522" spans="1:19">
      <c r="A1522" s="1" t="s">
        <v>309</v>
      </c>
      <c r="B1522" s="2">
        <v>303.13</v>
      </c>
      <c r="C1522" s="1">
        <v>303.13</v>
      </c>
      <c r="D1522" s="1" t="s">
        <v>1155</v>
      </c>
      <c r="E1522" s="1">
        <v>11</v>
      </c>
      <c r="F1522" s="3">
        <v>1261.98</v>
      </c>
      <c r="G1522" s="1">
        <v>1</v>
      </c>
      <c r="H1522" s="1" t="s">
        <v>2926</v>
      </c>
      <c r="I1522" s="1" t="s">
        <v>441</v>
      </c>
      <c r="J1522" s="1" t="s">
        <v>16</v>
      </c>
      <c r="K1522" s="1" t="s">
        <v>2907</v>
      </c>
      <c r="L1522" s="1" t="s">
        <v>2927</v>
      </c>
      <c r="M1522">
        <f t="shared" si="161"/>
        <v>303.13</v>
      </c>
      <c r="N1522" t="str">
        <f t="shared" si="162"/>
        <v>1971-08-13</v>
      </c>
      <c r="O1522">
        <f t="shared" si="163"/>
        <v>41</v>
      </c>
      <c r="P1522" t="str">
        <f t="shared" si="164"/>
        <v>mężczyzna</v>
      </c>
      <c r="Q1522">
        <f t="shared" si="165"/>
        <v>40</v>
      </c>
      <c r="R1522">
        <f t="shared" si="166"/>
        <v>48</v>
      </c>
      <c r="S1522">
        <f t="shared" ca="1" si="167"/>
        <v>24</v>
      </c>
    </row>
    <row r="1523" spans="1:19">
      <c r="A1523" s="1" t="s">
        <v>19</v>
      </c>
      <c r="B1523" s="2">
        <v>800</v>
      </c>
      <c r="C1523" s="1">
        <v>800</v>
      </c>
      <c r="D1523" s="1" t="s">
        <v>575</v>
      </c>
      <c r="E1523" s="1">
        <v>13</v>
      </c>
      <c r="F1523" s="3">
        <v>5100</v>
      </c>
      <c r="G1523" s="1">
        <v>4</v>
      </c>
      <c r="H1523" s="1" t="s">
        <v>2928</v>
      </c>
      <c r="I1523" s="1" t="s">
        <v>577</v>
      </c>
      <c r="J1523" s="1" t="s">
        <v>16</v>
      </c>
      <c r="K1523" s="1" t="s">
        <v>2907</v>
      </c>
      <c r="L1523" s="1" t="s">
        <v>2743</v>
      </c>
      <c r="M1523">
        <f t="shared" si="161"/>
        <v>800</v>
      </c>
      <c r="N1523" t="str">
        <f t="shared" si="162"/>
        <v>1950-08-28</v>
      </c>
      <c r="O1523">
        <f t="shared" si="163"/>
        <v>62</v>
      </c>
      <c r="P1523" t="str">
        <f t="shared" si="164"/>
        <v>kobieta</v>
      </c>
      <c r="Q1523">
        <f t="shared" si="165"/>
        <v>32</v>
      </c>
      <c r="R1523">
        <f t="shared" si="166"/>
        <v>48</v>
      </c>
      <c r="S1523">
        <f t="shared" ca="1" si="167"/>
        <v>0</v>
      </c>
    </row>
    <row r="1524" spans="1:19">
      <c r="A1524" s="1" t="s">
        <v>12</v>
      </c>
      <c r="B1524" s="2">
        <v>297.02999999999997</v>
      </c>
      <c r="C1524" s="1">
        <v>297.02999999999997</v>
      </c>
      <c r="D1524" s="1" t="s">
        <v>1865</v>
      </c>
      <c r="E1524" s="1">
        <v>13</v>
      </c>
      <c r="F1524" s="3">
        <v>1300</v>
      </c>
      <c r="G1524" s="1">
        <v>2</v>
      </c>
      <c r="H1524" s="1" t="s">
        <v>2929</v>
      </c>
      <c r="I1524" s="1" t="s">
        <v>145</v>
      </c>
      <c r="J1524" s="1" t="s">
        <v>16</v>
      </c>
      <c r="K1524" s="1" t="s">
        <v>2907</v>
      </c>
      <c r="L1524" s="1" t="s">
        <v>2857</v>
      </c>
      <c r="M1524">
        <f t="shared" si="161"/>
        <v>297.02999999999997</v>
      </c>
      <c r="N1524" t="str">
        <f t="shared" si="162"/>
        <v>1952-04-17</v>
      </c>
      <c r="O1524">
        <f t="shared" si="163"/>
        <v>60</v>
      </c>
      <c r="P1524" t="str">
        <f t="shared" si="164"/>
        <v>kobieta</v>
      </c>
      <c r="Q1524">
        <f t="shared" si="165"/>
        <v>34</v>
      </c>
      <c r="R1524">
        <f t="shared" si="166"/>
        <v>48</v>
      </c>
      <c r="S1524">
        <f t="shared" ca="1" si="167"/>
        <v>0</v>
      </c>
    </row>
    <row r="1525" spans="1:19">
      <c r="A1525" s="1" t="s">
        <v>12</v>
      </c>
      <c r="B1525" s="2">
        <v>1000</v>
      </c>
      <c r="C1525" s="1">
        <v>500</v>
      </c>
      <c r="D1525" s="1" t="s">
        <v>2930</v>
      </c>
      <c r="E1525" s="1">
        <v>13</v>
      </c>
      <c r="F1525" s="3">
        <v>2692.96</v>
      </c>
      <c r="G1525" s="1">
        <v>0</v>
      </c>
      <c r="H1525" s="1" t="s">
        <v>2931</v>
      </c>
      <c r="I1525" s="1" t="s">
        <v>1384</v>
      </c>
      <c r="J1525" s="1" t="s">
        <v>16</v>
      </c>
      <c r="K1525" s="1" t="s">
        <v>2907</v>
      </c>
      <c r="L1525" s="1" t="s">
        <v>2875</v>
      </c>
      <c r="M1525">
        <f t="shared" si="161"/>
        <v>500</v>
      </c>
      <c r="N1525" t="str">
        <f t="shared" si="162"/>
        <v>1965-03-18</v>
      </c>
      <c r="O1525">
        <f t="shared" si="163"/>
        <v>47</v>
      </c>
      <c r="P1525" t="str">
        <f t="shared" si="164"/>
        <v>mężczyzna</v>
      </c>
      <c r="Q1525">
        <f t="shared" si="165"/>
        <v>2</v>
      </c>
      <c r="R1525">
        <f t="shared" si="166"/>
        <v>48</v>
      </c>
      <c r="S1525">
        <f t="shared" ca="1" si="167"/>
        <v>11</v>
      </c>
    </row>
    <row r="1526" spans="1:19">
      <c r="A1526" s="1" t="s">
        <v>19</v>
      </c>
      <c r="B1526" s="2">
        <v>300</v>
      </c>
      <c r="C1526" s="1">
        <v>300</v>
      </c>
      <c r="D1526" s="1" t="s">
        <v>2345</v>
      </c>
      <c r="E1526" s="1">
        <v>11</v>
      </c>
      <c r="F1526" s="3">
        <v>1170</v>
      </c>
      <c r="G1526" s="1">
        <v>1</v>
      </c>
      <c r="H1526" s="1" t="s">
        <v>2932</v>
      </c>
      <c r="I1526" s="1" t="s">
        <v>2347</v>
      </c>
      <c r="J1526" s="1" t="s">
        <v>16</v>
      </c>
      <c r="K1526" s="1" t="s">
        <v>2907</v>
      </c>
      <c r="L1526" s="1" t="s">
        <v>2743</v>
      </c>
      <c r="M1526">
        <f t="shared" si="161"/>
        <v>300</v>
      </c>
      <c r="N1526" t="str">
        <f t="shared" si="162"/>
        <v>1955-09-07</v>
      </c>
      <c r="O1526">
        <f t="shared" si="163"/>
        <v>57</v>
      </c>
      <c r="P1526" t="str">
        <f t="shared" si="164"/>
        <v>mężczyzna</v>
      </c>
      <c r="Q1526">
        <f t="shared" si="165"/>
        <v>71</v>
      </c>
      <c r="R1526">
        <f t="shared" si="166"/>
        <v>48</v>
      </c>
      <c r="S1526">
        <f t="shared" ca="1" si="167"/>
        <v>0</v>
      </c>
    </row>
    <row r="1527" spans="1:19">
      <c r="A1527" s="1" t="s">
        <v>24</v>
      </c>
      <c r="B1527" s="2">
        <v>600</v>
      </c>
      <c r="C1527" s="1">
        <v>0</v>
      </c>
      <c r="D1527" s="1" t="s">
        <v>2933</v>
      </c>
      <c r="E1527" s="1">
        <v>12</v>
      </c>
      <c r="F1527" s="3">
        <v>1200</v>
      </c>
      <c r="G1527" s="1">
        <v>0</v>
      </c>
      <c r="H1527" s="1" t="s">
        <v>2934</v>
      </c>
      <c r="I1527" s="1" t="s">
        <v>300</v>
      </c>
      <c r="J1527" s="1" t="s">
        <v>2935</v>
      </c>
      <c r="K1527" s="1" t="s">
        <v>16</v>
      </c>
      <c r="L1527" s="1" t="s">
        <v>28</v>
      </c>
      <c r="M1527">
        <f t="shared" si="161"/>
        <v>600</v>
      </c>
      <c r="N1527" t="str">
        <f t="shared" si="162"/>
        <v>1986-06-05</v>
      </c>
      <c r="O1527">
        <f t="shared" si="163"/>
        <v>26</v>
      </c>
      <c r="P1527" t="str">
        <f t="shared" si="164"/>
        <v>mężczyzna</v>
      </c>
      <c r="Q1527">
        <f t="shared" si="165"/>
        <v>24</v>
      </c>
      <c r="R1527">
        <f t="shared" si="166"/>
        <v>24</v>
      </c>
      <c r="S1527">
        <f t="shared" ca="1" si="167"/>
        <v>0</v>
      </c>
    </row>
    <row r="1528" spans="1:19">
      <c r="A1528" s="1" t="s">
        <v>56</v>
      </c>
      <c r="B1528" s="2">
        <v>700</v>
      </c>
      <c r="C1528" s="1">
        <v>700</v>
      </c>
      <c r="D1528" s="1" t="s">
        <v>1400</v>
      </c>
      <c r="E1528" s="1">
        <v>13</v>
      </c>
      <c r="F1528" s="3">
        <v>1507</v>
      </c>
      <c r="G1528" s="1">
        <v>0</v>
      </c>
      <c r="H1528" s="1" t="s">
        <v>2936</v>
      </c>
      <c r="I1528" s="1" t="s">
        <v>1402</v>
      </c>
      <c r="J1528" s="1" t="s">
        <v>16</v>
      </c>
      <c r="K1528" s="1" t="s">
        <v>2907</v>
      </c>
      <c r="L1528" s="1" t="s">
        <v>28</v>
      </c>
      <c r="M1528">
        <f t="shared" si="161"/>
        <v>700</v>
      </c>
      <c r="N1528" t="str">
        <f t="shared" si="162"/>
        <v>1947-06-22</v>
      </c>
      <c r="O1528">
        <f t="shared" si="163"/>
        <v>65</v>
      </c>
      <c r="P1528" t="str">
        <f t="shared" si="164"/>
        <v>kobieta</v>
      </c>
      <c r="Q1528">
        <f t="shared" si="165"/>
        <v>63</v>
      </c>
      <c r="R1528">
        <f t="shared" si="166"/>
        <v>48</v>
      </c>
      <c r="S1528">
        <f t="shared" ca="1" si="167"/>
        <v>5142</v>
      </c>
    </row>
    <row r="1529" spans="1:19">
      <c r="A1529" s="1" t="s">
        <v>12</v>
      </c>
      <c r="B1529" s="2">
        <v>310.37</v>
      </c>
      <c r="C1529" s="1">
        <v>310.37</v>
      </c>
      <c r="D1529" s="1" t="s">
        <v>369</v>
      </c>
      <c r="E1529" s="1">
        <v>11</v>
      </c>
      <c r="F1529" s="3">
        <v>1721.7</v>
      </c>
      <c r="G1529" s="1">
        <v>9</v>
      </c>
      <c r="H1529" s="1" t="s">
        <v>2937</v>
      </c>
      <c r="I1529" s="1" t="s">
        <v>371</v>
      </c>
      <c r="J1529" s="1" t="s">
        <v>16</v>
      </c>
      <c r="K1529" s="1" t="s">
        <v>2907</v>
      </c>
      <c r="L1529" s="1" t="s">
        <v>2911</v>
      </c>
      <c r="M1529">
        <f t="shared" si="161"/>
        <v>310.37</v>
      </c>
      <c r="N1529" t="str">
        <f t="shared" si="162"/>
        <v>1957-03-19</v>
      </c>
      <c r="O1529">
        <f t="shared" si="163"/>
        <v>55</v>
      </c>
      <c r="P1529" t="str">
        <f t="shared" si="164"/>
        <v>kobieta</v>
      </c>
      <c r="Q1529">
        <f t="shared" si="165"/>
        <v>124</v>
      </c>
      <c r="R1529">
        <f t="shared" si="166"/>
        <v>48</v>
      </c>
      <c r="S1529">
        <f t="shared" ca="1" si="167"/>
        <v>13</v>
      </c>
    </row>
    <row r="1530" spans="1:19">
      <c r="A1530" s="1" t="s">
        <v>12</v>
      </c>
      <c r="B1530" s="2">
        <v>200</v>
      </c>
      <c r="C1530" s="1">
        <v>200</v>
      </c>
      <c r="D1530" s="1" t="s">
        <v>1371</v>
      </c>
      <c r="E1530" s="1">
        <v>13</v>
      </c>
      <c r="F1530" s="3">
        <v>1162.4100000000001</v>
      </c>
      <c r="G1530" s="1">
        <v>3</v>
      </c>
      <c r="H1530" s="1" t="s">
        <v>2938</v>
      </c>
      <c r="I1530" s="1" t="s">
        <v>1373</v>
      </c>
      <c r="J1530" s="1" t="s">
        <v>16</v>
      </c>
      <c r="K1530" s="1" t="s">
        <v>2939</v>
      </c>
      <c r="L1530" s="1" t="s">
        <v>2857</v>
      </c>
      <c r="M1530">
        <f t="shared" si="161"/>
        <v>200</v>
      </c>
      <c r="N1530" t="str">
        <f t="shared" si="162"/>
        <v>1943-02-21</v>
      </c>
      <c r="O1530">
        <f t="shared" si="163"/>
        <v>69</v>
      </c>
      <c r="P1530" t="str">
        <f t="shared" si="164"/>
        <v>mężczyzna</v>
      </c>
      <c r="Q1530">
        <f t="shared" si="165"/>
        <v>108</v>
      </c>
      <c r="R1530">
        <f t="shared" si="166"/>
        <v>48</v>
      </c>
      <c r="S1530">
        <f t="shared" ca="1" si="167"/>
        <v>0</v>
      </c>
    </row>
    <row r="1531" spans="1:19">
      <c r="A1531" s="1" t="s">
        <v>19</v>
      </c>
      <c r="B1531" s="2">
        <v>300</v>
      </c>
      <c r="C1531" s="1">
        <v>300</v>
      </c>
      <c r="D1531" s="1" t="s">
        <v>1199</v>
      </c>
      <c r="E1531" s="1">
        <v>11</v>
      </c>
      <c r="F1531" s="3">
        <v>1590</v>
      </c>
      <c r="G1531" s="1">
        <v>3</v>
      </c>
      <c r="H1531" s="1" t="s">
        <v>2940</v>
      </c>
      <c r="I1531" s="1" t="s">
        <v>1201</v>
      </c>
      <c r="J1531" s="1" t="s">
        <v>16</v>
      </c>
      <c r="K1531" s="1" t="s">
        <v>2939</v>
      </c>
      <c r="L1531" s="1" t="s">
        <v>1943</v>
      </c>
      <c r="M1531">
        <f t="shared" si="161"/>
        <v>300</v>
      </c>
      <c r="N1531" t="str">
        <f t="shared" si="162"/>
        <v>1982-12-12</v>
      </c>
      <c r="O1531">
        <f t="shared" si="163"/>
        <v>30</v>
      </c>
      <c r="P1531" t="str">
        <f t="shared" si="164"/>
        <v>mężczyzna</v>
      </c>
      <c r="Q1531">
        <f t="shared" si="165"/>
        <v>57</v>
      </c>
      <c r="R1531">
        <f t="shared" si="166"/>
        <v>48</v>
      </c>
      <c r="S1531">
        <f t="shared" ca="1" si="167"/>
        <v>2</v>
      </c>
    </row>
    <row r="1532" spans="1:19">
      <c r="A1532" s="1" t="s">
        <v>19</v>
      </c>
      <c r="B1532" s="2">
        <v>478.16</v>
      </c>
      <c r="C1532" s="1">
        <v>478.16</v>
      </c>
      <c r="D1532" s="1" t="s">
        <v>1360</v>
      </c>
      <c r="E1532" s="1">
        <v>11</v>
      </c>
      <c r="F1532" s="3">
        <v>2500</v>
      </c>
      <c r="G1532" s="1">
        <v>3</v>
      </c>
      <c r="H1532" s="1" t="s">
        <v>2941</v>
      </c>
      <c r="I1532" s="1" t="s">
        <v>1362</v>
      </c>
      <c r="J1532" s="1" t="s">
        <v>16</v>
      </c>
      <c r="K1532" s="1" t="s">
        <v>2939</v>
      </c>
      <c r="L1532" s="1" t="s">
        <v>1943</v>
      </c>
      <c r="M1532">
        <f t="shared" si="161"/>
        <v>478.16</v>
      </c>
      <c r="N1532" t="str">
        <f t="shared" si="162"/>
        <v>1962-12-21</v>
      </c>
      <c r="O1532">
        <f t="shared" si="163"/>
        <v>50</v>
      </c>
      <c r="P1532" t="str">
        <f t="shared" si="164"/>
        <v>mężczyzna</v>
      </c>
      <c r="Q1532">
        <f t="shared" si="165"/>
        <v>378</v>
      </c>
      <c r="R1532">
        <f t="shared" si="166"/>
        <v>48</v>
      </c>
      <c r="S1532">
        <f t="shared" ca="1" si="167"/>
        <v>2</v>
      </c>
    </row>
    <row r="1533" spans="1:19">
      <c r="A1533" s="1" t="s">
        <v>19</v>
      </c>
      <c r="B1533" s="2">
        <v>400</v>
      </c>
      <c r="C1533" s="1">
        <v>400</v>
      </c>
      <c r="D1533" s="1" t="s">
        <v>1842</v>
      </c>
      <c r="E1533" s="1">
        <v>13</v>
      </c>
      <c r="F1533" s="3">
        <v>1514</v>
      </c>
      <c r="G1533" s="1">
        <v>0</v>
      </c>
      <c r="H1533" s="1" t="s">
        <v>2942</v>
      </c>
      <c r="I1533" s="1" t="s">
        <v>1844</v>
      </c>
      <c r="J1533" s="1" t="s">
        <v>16</v>
      </c>
      <c r="K1533" s="1" t="s">
        <v>2939</v>
      </c>
      <c r="L1533" s="1" t="s">
        <v>2743</v>
      </c>
      <c r="M1533">
        <f t="shared" si="161"/>
        <v>400</v>
      </c>
      <c r="N1533" t="str">
        <f t="shared" si="162"/>
        <v>1953-12-10</v>
      </c>
      <c r="O1533">
        <f t="shared" si="163"/>
        <v>59</v>
      </c>
      <c r="P1533" t="str">
        <f t="shared" si="164"/>
        <v>kobieta</v>
      </c>
      <c r="Q1533">
        <f t="shared" si="165"/>
        <v>50</v>
      </c>
      <c r="R1533">
        <f t="shared" si="166"/>
        <v>48</v>
      </c>
      <c r="S1533">
        <f t="shared" ca="1" si="167"/>
        <v>0</v>
      </c>
    </row>
    <row r="1534" spans="1:19">
      <c r="A1534" s="1" t="s">
        <v>19</v>
      </c>
      <c r="B1534" s="2">
        <v>400</v>
      </c>
      <c r="C1534" s="1">
        <v>400</v>
      </c>
      <c r="D1534" s="1" t="s">
        <v>366</v>
      </c>
      <c r="E1534" s="1">
        <v>13</v>
      </c>
      <c r="F1534" s="3">
        <v>1239.98</v>
      </c>
      <c r="G1534" s="1">
        <v>0</v>
      </c>
      <c r="H1534" s="1" t="s">
        <v>2943</v>
      </c>
      <c r="I1534" s="1" t="s">
        <v>368</v>
      </c>
      <c r="J1534" s="1" t="s">
        <v>16</v>
      </c>
      <c r="K1534" s="1" t="s">
        <v>2939</v>
      </c>
      <c r="L1534" s="1" t="s">
        <v>2704</v>
      </c>
      <c r="M1534">
        <f t="shared" si="161"/>
        <v>400</v>
      </c>
      <c r="N1534" t="str">
        <f t="shared" si="162"/>
        <v>1933-03-29</v>
      </c>
      <c r="O1534">
        <f t="shared" si="163"/>
        <v>79</v>
      </c>
      <c r="P1534" t="str">
        <f t="shared" si="164"/>
        <v>kobieta</v>
      </c>
      <c r="Q1534">
        <f t="shared" si="165"/>
        <v>259</v>
      </c>
      <c r="R1534">
        <f t="shared" si="166"/>
        <v>48</v>
      </c>
      <c r="S1534">
        <f t="shared" ca="1" si="167"/>
        <v>0</v>
      </c>
    </row>
    <row r="1535" spans="1:19">
      <c r="A1535" s="1" t="s">
        <v>19</v>
      </c>
      <c r="B1535" s="2">
        <v>600</v>
      </c>
      <c r="C1535" s="1">
        <v>600</v>
      </c>
      <c r="D1535" s="1" t="s">
        <v>2353</v>
      </c>
      <c r="E1535" s="1">
        <v>16</v>
      </c>
      <c r="F1535" s="3">
        <v>1362</v>
      </c>
      <c r="G1535" s="1">
        <v>1</v>
      </c>
      <c r="H1535" s="1" t="s">
        <v>2944</v>
      </c>
      <c r="I1535" s="1" t="s">
        <v>776</v>
      </c>
      <c r="J1535" s="1" t="s">
        <v>16</v>
      </c>
      <c r="K1535" s="1" t="s">
        <v>2939</v>
      </c>
      <c r="L1535" s="1" t="s">
        <v>2857</v>
      </c>
      <c r="M1535">
        <f t="shared" si="161"/>
        <v>600</v>
      </c>
      <c r="N1535" t="str">
        <f t="shared" si="162"/>
        <v>1958-10-02</v>
      </c>
      <c r="O1535">
        <f t="shared" si="163"/>
        <v>54</v>
      </c>
      <c r="P1535" t="str">
        <f t="shared" si="164"/>
        <v>kobieta</v>
      </c>
      <c r="Q1535">
        <f t="shared" si="165"/>
        <v>33</v>
      </c>
      <c r="R1535">
        <f t="shared" si="166"/>
        <v>48</v>
      </c>
      <c r="S1535">
        <f t="shared" ca="1" si="167"/>
        <v>0</v>
      </c>
    </row>
    <row r="1536" spans="1:19">
      <c r="A1536" s="1" t="s">
        <v>24</v>
      </c>
      <c r="B1536" s="2">
        <v>300</v>
      </c>
      <c r="C1536" s="1">
        <v>0</v>
      </c>
      <c r="D1536" s="1" t="s">
        <v>2945</v>
      </c>
      <c r="E1536" s="1">
        <v>12</v>
      </c>
      <c r="F1536" s="3">
        <v>1156</v>
      </c>
      <c r="G1536" s="1">
        <v>0</v>
      </c>
      <c r="H1536" s="1" t="s">
        <v>2946</v>
      </c>
      <c r="I1536" s="1" t="s">
        <v>2947</v>
      </c>
      <c r="J1536" s="1" t="s">
        <v>2948</v>
      </c>
      <c r="K1536" s="1" t="s">
        <v>16</v>
      </c>
      <c r="L1536" s="1" t="s">
        <v>28</v>
      </c>
      <c r="M1536">
        <f t="shared" si="161"/>
        <v>300</v>
      </c>
      <c r="N1536" t="str">
        <f t="shared" si="162"/>
        <v>1983-08-03</v>
      </c>
      <c r="O1536">
        <f t="shared" si="163"/>
        <v>29</v>
      </c>
      <c r="P1536" t="str">
        <f t="shared" si="164"/>
        <v>kobieta</v>
      </c>
      <c r="Q1536">
        <f t="shared" si="165"/>
        <v>66</v>
      </c>
      <c r="R1536">
        <f t="shared" si="166"/>
        <v>42</v>
      </c>
      <c r="S1536">
        <f t="shared" ca="1" si="167"/>
        <v>0</v>
      </c>
    </row>
    <row r="1537" spans="1:19">
      <c r="A1537" s="1" t="s">
        <v>19</v>
      </c>
      <c r="B1537" s="2">
        <v>600</v>
      </c>
      <c r="C1537" s="1">
        <v>600</v>
      </c>
      <c r="D1537" s="1" t="s">
        <v>1444</v>
      </c>
      <c r="E1537" s="1">
        <v>13</v>
      </c>
      <c r="F1537" s="3">
        <v>2547</v>
      </c>
      <c r="G1537" s="1">
        <v>3</v>
      </c>
      <c r="H1537" s="1" t="s">
        <v>2949</v>
      </c>
      <c r="I1537" s="1" t="s">
        <v>1446</v>
      </c>
      <c r="J1537" s="1" t="s">
        <v>16</v>
      </c>
      <c r="K1537" s="1" t="s">
        <v>2939</v>
      </c>
      <c r="L1537" s="1" t="s">
        <v>2476</v>
      </c>
      <c r="M1537">
        <f t="shared" si="161"/>
        <v>600</v>
      </c>
      <c r="N1537" t="str">
        <f t="shared" si="162"/>
        <v>1931-01-25</v>
      </c>
      <c r="O1537">
        <f t="shared" si="163"/>
        <v>81</v>
      </c>
      <c r="P1537" t="str">
        <f t="shared" si="164"/>
        <v>mężczyzna</v>
      </c>
      <c r="Q1537">
        <f t="shared" si="165"/>
        <v>199</v>
      </c>
      <c r="R1537">
        <f t="shared" si="166"/>
        <v>48</v>
      </c>
      <c r="S1537">
        <f t="shared" ca="1" si="167"/>
        <v>0</v>
      </c>
    </row>
    <row r="1538" spans="1:19">
      <c r="A1538" s="1" t="s">
        <v>24</v>
      </c>
      <c r="B1538" s="2">
        <v>500</v>
      </c>
      <c r="C1538" s="1">
        <v>0</v>
      </c>
      <c r="D1538" s="1" t="s">
        <v>2950</v>
      </c>
      <c r="E1538" s="1">
        <v>12</v>
      </c>
      <c r="F1538" s="3">
        <v>1189</v>
      </c>
      <c r="G1538" s="1">
        <v>0</v>
      </c>
      <c r="H1538" s="1" t="s">
        <v>2951</v>
      </c>
      <c r="I1538" s="1" t="s">
        <v>27</v>
      </c>
      <c r="J1538" s="1" t="s">
        <v>2590</v>
      </c>
      <c r="K1538" s="1" t="s">
        <v>16</v>
      </c>
      <c r="L1538" s="1" t="s">
        <v>28</v>
      </c>
      <c r="M1538">
        <f t="shared" si="161"/>
        <v>500</v>
      </c>
      <c r="N1538" t="str">
        <f t="shared" si="162"/>
        <v>1991-07-28</v>
      </c>
      <c r="O1538">
        <f t="shared" si="163"/>
        <v>21</v>
      </c>
      <c r="P1538" t="str">
        <f t="shared" si="164"/>
        <v>kobieta</v>
      </c>
      <c r="Q1538">
        <f t="shared" si="165"/>
        <v>7</v>
      </c>
      <c r="R1538">
        <f t="shared" si="166"/>
        <v>19</v>
      </c>
      <c r="S1538">
        <f t="shared" ca="1" si="167"/>
        <v>0</v>
      </c>
    </row>
    <row r="1539" spans="1:19">
      <c r="A1539" s="1" t="s">
        <v>19</v>
      </c>
      <c r="B1539" s="2">
        <v>300</v>
      </c>
      <c r="C1539" s="1">
        <v>300</v>
      </c>
      <c r="D1539" s="1" t="s">
        <v>2952</v>
      </c>
      <c r="E1539" s="1">
        <v>12</v>
      </c>
      <c r="F1539" s="3">
        <v>1294</v>
      </c>
      <c r="G1539" s="1">
        <v>0</v>
      </c>
      <c r="H1539" s="1" t="s">
        <v>2953</v>
      </c>
      <c r="I1539" s="1" t="s">
        <v>360</v>
      </c>
      <c r="J1539" s="1" t="s">
        <v>2108</v>
      </c>
      <c r="K1539" s="1" t="s">
        <v>2954</v>
      </c>
      <c r="L1539" s="1" t="s">
        <v>2901</v>
      </c>
      <c r="M1539">
        <f t="shared" ref="M1539:M1582" si="168">IF(A1539="odmowa", B1539,C1539)</f>
        <v>300</v>
      </c>
      <c r="N1539" t="str">
        <f t="shared" ref="N1539:N1582" si="169">CONCATENATE("19", MID(D1539, 1, 2), "-", MID(D1539, 3, 2), "-", MID(D1539, 5, 2))</f>
        <v>1966-12-19</v>
      </c>
      <c r="O1539">
        <f t="shared" ref="O1539:O1582" si="170">YEAR(H1539) - YEAR(N1539)</f>
        <v>46</v>
      </c>
      <c r="P1539" t="str">
        <f t="shared" ref="P1539:P1582" si="171">IF(MOD(MID(D1539, 10, 1), 2)=0, "kobieta", "mężczyzna")</f>
        <v>kobieta</v>
      </c>
      <c r="Q1539">
        <f t="shared" ref="Q1539:Q1582" si="172">(YEAR(H1539) - YEAR(I1539)) * 12 + MONTH(H1539) - MONTH(I1539)</f>
        <v>5</v>
      </c>
      <c r="R1539">
        <f t="shared" ref="R1539:R1582" si="173">IF(LEFT(J1539, 4)="0000", 48, MIN(48, (YEAR(J1539) - YEAR(H1539)) * 12 + MONTH(J1539) - MONTH(H1539)))</f>
        <v>10</v>
      </c>
      <c r="S1539">
        <f t="shared" ref="S1539:S1582" ca="1" si="174">IF(LEFT(K1539, 4)="0000", 0, IF(LEFT(L1539, 4)="0000", MAX(0, TODAY() - K1539), MAX(0, L1539 - K1539)))</f>
        <v>0</v>
      </c>
    </row>
    <row r="1540" spans="1:19">
      <c r="A1540" s="1" t="s">
        <v>19</v>
      </c>
      <c r="B1540" s="2">
        <v>292.26</v>
      </c>
      <c r="C1540" s="1">
        <v>292.26</v>
      </c>
      <c r="D1540" s="1" t="s">
        <v>2359</v>
      </c>
      <c r="E1540" s="1">
        <v>12</v>
      </c>
      <c r="F1540" s="3">
        <v>2000</v>
      </c>
      <c r="G1540" s="1">
        <v>1</v>
      </c>
      <c r="H1540" s="1" t="s">
        <v>2955</v>
      </c>
      <c r="I1540" s="1" t="s">
        <v>2361</v>
      </c>
      <c r="J1540" s="1" t="s">
        <v>2362</v>
      </c>
      <c r="K1540" s="1" t="s">
        <v>2939</v>
      </c>
      <c r="L1540" s="1" t="s">
        <v>2568</v>
      </c>
      <c r="M1540">
        <f t="shared" si="168"/>
        <v>292.26</v>
      </c>
      <c r="N1540" t="str">
        <f t="shared" si="169"/>
        <v>1974-03-21</v>
      </c>
      <c r="O1540">
        <f t="shared" si="170"/>
        <v>38</v>
      </c>
      <c r="P1540" t="str">
        <f t="shared" si="171"/>
        <v>kobieta</v>
      </c>
      <c r="Q1540">
        <f t="shared" si="172"/>
        <v>93</v>
      </c>
      <c r="R1540">
        <f t="shared" si="173"/>
        <v>48</v>
      </c>
      <c r="S1540">
        <f t="shared" ca="1" si="174"/>
        <v>3</v>
      </c>
    </row>
    <row r="1541" spans="1:19">
      <c r="A1541" s="1" t="s">
        <v>24</v>
      </c>
      <c r="B1541" s="2">
        <v>200</v>
      </c>
      <c r="C1541" s="1">
        <v>0</v>
      </c>
      <c r="D1541" s="1" t="s">
        <v>2956</v>
      </c>
      <c r="E1541" s="1">
        <v>99</v>
      </c>
      <c r="F1541" s="3">
        <v>2300</v>
      </c>
      <c r="G1541" s="1">
        <v>0</v>
      </c>
      <c r="H1541" s="1" t="s">
        <v>2957</v>
      </c>
      <c r="I1541" s="1" t="s">
        <v>583</v>
      </c>
      <c r="J1541" s="1" t="s">
        <v>2252</v>
      </c>
      <c r="K1541" s="1" t="s">
        <v>16</v>
      </c>
      <c r="L1541" s="1" t="s">
        <v>28</v>
      </c>
      <c r="M1541">
        <f t="shared" si="168"/>
        <v>200</v>
      </c>
      <c r="N1541" t="str">
        <f t="shared" si="169"/>
        <v>1976-04-13</v>
      </c>
      <c r="O1541">
        <f t="shared" si="170"/>
        <v>36</v>
      </c>
      <c r="P1541" t="str">
        <f t="shared" si="171"/>
        <v>mężczyzna</v>
      </c>
      <c r="Q1541">
        <f t="shared" si="172"/>
        <v>11</v>
      </c>
      <c r="R1541">
        <f t="shared" si="173"/>
        <v>1</v>
      </c>
      <c r="S1541">
        <f t="shared" ca="1" si="174"/>
        <v>0</v>
      </c>
    </row>
    <row r="1542" spans="1:19">
      <c r="A1542" s="1" t="s">
        <v>19</v>
      </c>
      <c r="B1542" s="2">
        <v>292.73</v>
      </c>
      <c r="C1542" s="1">
        <v>292.73</v>
      </c>
      <c r="D1542" s="1" t="s">
        <v>225</v>
      </c>
      <c r="E1542" s="1">
        <v>11</v>
      </c>
      <c r="F1542" s="3">
        <v>1077.49</v>
      </c>
      <c r="G1542" s="1">
        <v>3</v>
      </c>
      <c r="H1542" s="1" t="s">
        <v>2958</v>
      </c>
      <c r="I1542" s="1" t="s">
        <v>227</v>
      </c>
      <c r="J1542" s="1" t="s">
        <v>16</v>
      </c>
      <c r="K1542" s="1" t="s">
        <v>2939</v>
      </c>
      <c r="L1542" s="1" t="s">
        <v>2743</v>
      </c>
      <c r="M1542">
        <f t="shared" si="168"/>
        <v>292.73</v>
      </c>
      <c r="N1542" t="str">
        <f t="shared" si="169"/>
        <v>1963-09-03</v>
      </c>
      <c r="O1542">
        <f t="shared" si="170"/>
        <v>49</v>
      </c>
      <c r="P1542" t="str">
        <f t="shared" si="171"/>
        <v>kobieta</v>
      </c>
      <c r="Q1542">
        <f t="shared" si="172"/>
        <v>376</v>
      </c>
      <c r="R1542">
        <f t="shared" si="173"/>
        <v>48</v>
      </c>
      <c r="S1542">
        <f t="shared" ca="1" si="174"/>
        <v>0</v>
      </c>
    </row>
    <row r="1543" spans="1:19">
      <c r="A1543" s="1" t="s">
        <v>12</v>
      </c>
      <c r="B1543" s="2">
        <v>400</v>
      </c>
      <c r="C1543" s="1">
        <v>400</v>
      </c>
      <c r="D1543" s="1" t="s">
        <v>350</v>
      </c>
      <c r="E1543" s="1">
        <v>12</v>
      </c>
      <c r="F1543" s="3">
        <v>1500</v>
      </c>
      <c r="G1543" s="1">
        <v>0</v>
      </c>
      <c r="H1543" s="1" t="s">
        <v>2959</v>
      </c>
      <c r="I1543" s="1" t="s">
        <v>352</v>
      </c>
      <c r="J1543" s="1" t="s">
        <v>1860</v>
      </c>
      <c r="K1543" s="1" t="s">
        <v>2960</v>
      </c>
      <c r="L1543" s="1" t="s">
        <v>2743</v>
      </c>
      <c r="M1543">
        <f t="shared" si="168"/>
        <v>400</v>
      </c>
      <c r="N1543" t="str">
        <f t="shared" si="169"/>
        <v>1990-08-20</v>
      </c>
      <c r="O1543">
        <f t="shared" si="170"/>
        <v>22</v>
      </c>
      <c r="P1543" t="str">
        <f t="shared" si="171"/>
        <v>mężczyzna</v>
      </c>
      <c r="Q1543">
        <f t="shared" si="172"/>
        <v>10</v>
      </c>
      <c r="R1543">
        <f t="shared" si="173"/>
        <v>1</v>
      </c>
      <c r="S1543">
        <f t="shared" ca="1" si="174"/>
        <v>0</v>
      </c>
    </row>
    <row r="1544" spans="1:19">
      <c r="A1544" s="1" t="s">
        <v>19</v>
      </c>
      <c r="B1544" s="2">
        <v>400</v>
      </c>
      <c r="C1544" s="1">
        <v>400</v>
      </c>
      <c r="D1544" s="1" t="s">
        <v>2435</v>
      </c>
      <c r="E1544" s="1">
        <v>13</v>
      </c>
      <c r="F1544" s="3">
        <v>1650</v>
      </c>
      <c r="G1544" s="1">
        <v>1</v>
      </c>
      <c r="H1544" s="1" t="s">
        <v>2961</v>
      </c>
      <c r="I1544" s="1" t="s">
        <v>2437</v>
      </c>
      <c r="J1544" s="1" t="s">
        <v>16</v>
      </c>
      <c r="K1544" s="1" t="s">
        <v>2960</v>
      </c>
      <c r="L1544" s="1" t="s">
        <v>2743</v>
      </c>
      <c r="M1544">
        <f t="shared" si="168"/>
        <v>400</v>
      </c>
      <c r="N1544" t="str">
        <f t="shared" si="169"/>
        <v>1949-09-16</v>
      </c>
      <c r="O1544">
        <f t="shared" si="170"/>
        <v>63</v>
      </c>
      <c r="P1544" t="str">
        <f t="shared" si="171"/>
        <v>kobieta</v>
      </c>
      <c r="Q1544">
        <f t="shared" si="172"/>
        <v>86</v>
      </c>
      <c r="R1544">
        <f t="shared" si="173"/>
        <v>48</v>
      </c>
      <c r="S1544">
        <f t="shared" ca="1" si="174"/>
        <v>0</v>
      </c>
    </row>
    <row r="1545" spans="1:19">
      <c r="A1545" s="1" t="s">
        <v>12</v>
      </c>
      <c r="B1545" s="2">
        <v>400</v>
      </c>
      <c r="C1545" s="1">
        <v>400</v>
      </c>
      <c r="D1545" s="1" t="s">
        <v>492</v>
      </c>
      <c r="E1545" s="1">
        <v>13</v>
      </c>
      <c r="F1545" s="3">
        <v>1425</v>
      </c>
      <c r="G1545" s="1">
        <v>1</v>
      </c>
      <c r="H1545" s="1" t="s">
        <v>2962</v>
      </c>
      <c r="I1545" s="1" t="s">
        <v>66</v>
      </c>
      <c r="J1545" s="1" t="s">
        <v>16</v>
      </c>
      <c r="K1545" s="1" t="s">
        <v>2960</v>
      </c>
      <c r="L1545" s="1" t="s">
        <v>2704</v>
      </c>
      <c r="M1545">
        <f t="shared" si="168"/>
        <v>400</v>
      </c>
      <c r="N1545" t="str">
        <f t="shared" si="169"/>
        <v>1951-06-22</v>
      </c>
      <c r="O1545">
        <f t="shared" si="170"/>
        <v>61</v>
      </c>
      <c r="P1545" t="str">
        <f t="shared" si="171"/>
        <v>kobieta</v>
      </c>
      <c r="Q1545">
        <f t="shared" si="172"/>
        <v>83</v>
      </c>
      <c r="R1545">
        <f t="shared" si="173"/>
        <v>48</v>
      </c>
      <c r="S1545">
        <f t="shared" ca="1" si="174"/>
        <v>0</v>
      </c>
    </row>
    <row r="1546" spans="1:19">
      <c r="A1546" s="1" t="s">
        <v>19</v>
      </c>
      <c r="B1546" s="2">
        <v>600</v>
      </c>
      <c r="C1546" s="1">
        <v>600</v>
      </c>
      <c r="D1546" s="1" t="s">
        <v>119</v>
      </c>
      <c r="E1546" s="1">
        <v>11</v>
      </c>
      <c r="F1546" s="3">
        <v>1331.21</v>
      </c>
      <c r="G1546" s="1">
        <v>8</v>
      </c>
      <c r="H1546" s="1" t="s">
        <v>2963</v>
      </c>
      <c r="I1546" s="1" t="s">
        <v>121</v>
      </c>
      <c r="J1546" s="1" t="s">
        <v>16</v>
      </c>
      <c r="K1546" s="1" t="s">
        <v>2960</v>
      </c>
      <c r="L1546" s="1" t="s">
        <v>2568</v>
      </c>
      <c r="M1546">
        <f t="shared" si="168"/>
        <v>600</v>
      </c>
      <c r="N1546" t="str">
        <f t="shared" si="169"/>
        <v>1979-06-17</v>
      </c>
      <c r="O1546">
        <f t="shared" si="170"/>
        <v>33</v>
      </c>
      <c r="P1546" t="str">
        <f t="shared" si="171"/>
        <v>kobieta</v>
      </c>
      <c r="Q1546">
        <f t="shared" si="172"/>
        <v>23</v>
      </c>
      <c r="R1546">
        <f t="shared" si="173"/>
        <v>48</v>
      </c>
      <c r="S1546">
        <f t="shared" ca="1" si="174"/>
        <v>1</v>
      </c>
    </row>
    <row r="1547" spans="1:19">
      <c r="A1547" s="1" t="s">
        <v>309</v>
      </c>
      <c r="B1547" s="2">
        <v>300</v>
      </c>
      <c r="C1547" s="1">
        <v>300</v>
      </c>
      <c r="D1547" s="1" t="s">
        <v>2374</v>
      </c>
      <c r="E1547" s="1">
        <v>11</v>
      </c>
      <c r="F1547" s="3">
        <v>981</v>
      </c>
      <c r="G1547" s="1">
        <v>1</v>
      </c>
      <c r="H1547" s="1" t="s">
        <v>2964</v>
      </c>
      <c r="I1547" s="1" t="s">
        <v>2376</v>
      </c>
      <c r="J1547" s="1" t="s">
        <v>16</v>
      </c>
      <c r="K1547" s="1" t="s">
        <v>2960</v>
      </c>
      <c r="L1547" s="1" t="s">
        <v>524</v>
      </c>
      <c r="M1547">
        <f t="shared" si="168"/>
        <v>300</v>
      </c>
      <c r="N1547" t="str">
        <f t="shared" si="169"/>
        <v>1958-04-02</v>
      </c>
      <c r="O1547">
        <f t="shared" si="170"/>
        <v>54</v>
      </c>
      <c r="P1547" t="str">
        <f t="shared" si="171"/>
        <v>mężczyzna</v>
      </c>
      <c r="Q1547">
        <f t="shared" si="172"/>
        <v>24</v>
      </c>
      <c r="R1547">
        <f t="shared" si="173"/>
        <v>48</v>
      </c>
      <c r="S1547">
        <f t="shared" ca="1" si="174"/>
        <v>170</v>
      </c>
    </row>
    <row r="1548" spans="1:19">
      <c r="A1548" s="1" t="s">
        <v>24</v>
      </c>
      <c r="B1548" s="2">
        <v>500</v>
      </c>
      <c r="C1548" s="1">
        <v>0</v>
      </c>
      <c r="D1548" s="1" t="s">
        <v>2965</v>
      </c>
      <c r="E1548" s="1">
        <v>99</v>
      </c>
      <c r="F1548" s="3">
        <v>1300</v>
      </c>
      <c r="G1548" s="1">
        <v>0</v>
      </c>
      <c r="H1548" s="1" t="s">
        <v>2966</v>
      </c>
      <c r="I1548" s="1" t="s">
        <v>230</v>
      </c>
      <c r="J1548" s="1" t="s">
        <v>2967</v>
      </c>
      <c r="K1548" s="1" t="s">
        <v>16</v>
      </c>
      <c r="L1548" s="1" t="s">
        <v>28</v>
      </c>
      <c r="M1548">
        <f t="shared" si="168"/>
        <v>500</v>
      </c>
      <c r="N1548" t="str">
        <f t="shared" si="169"/>
        <v>1983-01-31</v>
      </c>
      <c r="O1548">
        <f t="shared" si="170"/>
        <v>29</v>
      </c>
      <c r="P1548" t="str">
        <f t="shared" si="171"/>
        <v>kobieta</v>
      </c>
      <c r="Q1548">
        <f t="shared" si="172"/>
        <v>75</v>
      </c>
      <c r="R1548">
        <f t="shared" si="173"/>
        <v>43</v>
      </c>
      <c r="S1548">
        <f t="shared" ca="1" si="174"/>
        <v>0</v>
      </c>
    </row>
    <row r="1549" spans="1:19">
      <c r="A1549" s="1" t="s">
        <v>24</v>
      </c>
      <c r="B1549" s="2">
        <v>300</v>
      </c>
      <c r="C1549" s="1">
        <v>0</v>
      </c>
      <c r="D1549" s="1" t="s">
        <v>2968</v>
      </c>
      <c r="E1549" s="1">
        <v>12</v>
      </c>
      <c r="F1549" s="3">
        <v>1107</v>
      </c>
      <c r="G1549" s="1">
        <v>0</v>
      </c>
      <c r="H1549" s="1" t="s">
        <v>2969</v>
      </c>
      <c r="I1549" s="1" t="s">
        <v>27</v>
      </c>
      <c r="J1549" s="1" t="s">
        <v>2448</v>
      </c>
      <c r="K1549" s="1" t="s">
        <v>16</v>
      </c>
      <c r="L1549" s="1" t="s">
        <v>28</v>
      </c>
      <c r="M1549">
        <f t="shared" si="168"/>
        <v>300</v>
      </c>
      <c r="N1549" t="str">
        <f t="shared" si="169"/>
        <v>1958-11-23</v>
      </c>
      <c r="O1549">
        <f t="shared" si="170"/>
        <v>54</v>
      </c>
      <c r="P1549" t="str">
        <f t="shared" si="171"/>
        <v>kobieta</v>
      </c>
      <c r="Q1549">
        <f t="shared" si="172"/>
        <v>7</v>
      </c>
      <c r="R1549">
        <f t="shared" si="173"/>
        <v>7</v>
      </c>
      <c r="S1549">
        <f t="shared" ca="1" si="174"/>
        <v>0</v>
      </c>
    </row>
    <row r="1550" spans="1:19">
      <c r="A1550" s="1" t="s">
        <v>19</v>
      </c>
      <c r="B1550" s="2">
        <v>300</v>
      </c>
      <c r="C1550" s="1">
        <v>300</v>
      </c>
      <c r="D1550" s="1" t="s">
        <v>44</v>
      </c>
      <c r="E1550" s="1">
        <v>17</v>
      </c>
      <c r="F1550" s="3">
        <v>864.6</v>
      </c>
      <c r="G1550" s="1">
        <v>0</v>
      </c>
      <c r="H1550" s="1" t="s">
        <v>2970</v>
      </c>
      <c r="I1550" s="1" t="s">
        <v>46</v>
      </c>
      <c r="J1550" s="1" t="s">
        <v>47</v>
      </c>
      <c r="K1550" s="1" t="s">
        <v>2960</v>
      </c>
      <c r="L1550" s="1" t="s">
        <v>1943</v>
      </c>
      <c r="M1550">
        <f t="shared" si="168"/>
        <v>300</v>
      </c>
      <c r="N1550" t="str">
        <f t="shared" si="169"/>
        <v>1957-12-19</v>
      </c>
      <c r="O1550">
        <f t="shared" si="170"/>
        <v>55</v>
      </c>
      <c r="P1550" t="str">
        <f t="shared" si="171"/>
        <v>kobieta</v>
      </c>
      <c r="Q1550">
        <f t="shared" si="172"/>
        <v>6</v>
      </c>
      <c r="R1550">
        <f t="shared" si="173"/>
        <v>1</v>
      </c>
      <c r="S1550">
        <f t="shared" ca="1" si="174"/>
        <v>0</v>
      </c>
    </row>
    <row r="1551" spans="1:19">
      <c r="A1551" s="1" t="s">
        <v>19</v>
      </c>
      <c r="B1551" s="2">
        <v>200</v>
      </c>
      <c r="C1551" s="1">
        <v>200</v>
      </c>
      <c r="D1551" s="1" t="s">
        <v>305</v>
      </c>
      <c r="E1551" s="1">
        <v>12</v>
      </c>
      <c r="F1551" s="3">
        <v>1100</v>
      </c>
      <c r="G1551" s="1">
        <v>5</v>
      </c>
      <c r="H1551" s="1" t="s">
        <v>2971</v>
      </c>
      <c r="I1551" s="1" t="s">
        <v>307</v>
      </c>
      <c r="J1551" s="1" t="s">
        <v>2108</v>
      </c>
      <c r="K1551" s="1" t="s">
        <v>2960</v>
      </c>
      <c r="L1551" s="1" t="s">
        <v>2886</v>
      </c>
      <c r="M1551">
        <f t="shared" si="168"/>
        <v>200</v>
      </c>
      <c r="N1551" t="str">
        <f t="shared" si="169"/>
        <v>1985-05-07</v>
      </c>
      <c r="O1551">
        <f t="shared" si="170"/>
        <v>27</v>
      </c>
      <c r="P1551" t="str">
        <f t="shared" si="171"/>
        <v>kobieta</v>
      </c>
      <c r="Q1551">
        <f t="shared" si="172"/>
        <v>19</v>
      </c>
      <c r="R1551">
        <f t="shared" si="173"/>
        <v>10</v>
      </c>
      <c r="S1551">
        <f t="shared" ca="1" si="174"/>
        <v>4</v>
      </c>
    </row>
    <row r="1552" spans="1:19">
      <c r="A1552" s="1" t="s">
        <v>19</v>
      </c>
      <c r="B1552" s="2">
        <v>400.91</v>
      </c>
      <c r="C1552" s="1">
        <v>400.91</v>
      </c>
      <c r="D1552" s="1" t="s">
        <v>671</v>
      </c>
      <c r="E1552" s="1">
        <v>11</v>
      </c>
      <c r="F1552" s="3">
        <v>1239.05</v>
      </c>
      <c r="G1552" s="1">
        <v>1</v>
      </c>
      <c r="H1552" s="1" t="s">
        <v>2972</v>
      </c>
      <c r="I1552" s="1" t="s">
        <v>673</v>
      </c>
      <c r="J1552" s="1" t="s">
        <v>16</v>
      </c>
      <c r="K1552" s="1" t="s">
        <v>2960</v>
      </c>
      <c r="L1552" s="1" t="s">
        <v>2973</v>
      </c>
      <c r="M1552">
        <f t="shared" si="168"/>
        <v>400.91</v>
      </c>
      <c r="N1552" t="str">
        <f t="shared" si="169"/>
        <v>1972-07-09</v>
      </c>
      <c r="O1552">
        <f t="shared" si="170"/>
        <v>40</v>
      </c>
      <c r="P1552" t="str">
        <f t="shared" si="171"/>
        <v>kobieta</v>
      </c>
      <c r="Q1552">
        <f t="shared" si="172"/>
        <v>208</v>
      </c>
      <c r="R1552">
        <f t="shared" si="173"/>
        <v>48</v>
      </c>
      <c r="S1552">
        <f t="shared" ca="1" si="174"/>
        <v>5</v>
      </c>
    </row>
    <row r="1553" spans="1:19">
      <c r="A1553" s="1" t="s">
        <v>19</v>
      </c>
      <c r="B1553" s="2">
        <v>500</v>
      </c>
      <c r="C1553" s="1">
        <v>300</v>
      </c>
      <c r="D1553" s="1" t="s">
        <v>2974</v>
      </c>
      <c r="E1553" s="1">
        <v>13</v>
      </c>
      <c r="F1553" s="3">
        <v>783</v>
      </c>
      <c r="G1553" s="1">
        <v>0</v>
      </c>
      <c r="H1553" s="1" t="s">
        <v>2975</v>
      </c>
      <c r="I1553" s="1" t="s">
        <v>2282</v>
      </c>
      <c r="J1553" s="1" t="s">
        <v>16</v>
      </c>
      <c r="K1553" s="1" t="s">
        <v>2960</v>
      </c>
      <c r="L1553" s="1" t="s">
        <v>2743</v>
      </c>
      <c r="M1553">
        <f t="shared" si="168"/>
        <v>300</v>
      </c>
      <c r="N1553" t="str">
        <f t="shared" si="169"/>
        <v>1944-04-02</v>
      </c>
      <c r="O1553">
        <f t="shared" si="170"/>
        <v>68</v>
      </c>
      <c r="P1553" t="str">
        <f t="shared" si="171"/>
        <v>kobieta</v>
      </c>
      <c r="Q1553">
        <f t="shared" si="172"/>
        <v>157</v>
      </c>
      <c r="R1553">
        <f t="shared" si="173"/>
        <v>48</v>
      </c>
      <c r="S1553">
        <f t="shared" ca="1" si="174"/>
        <v>0</v>
      </c>
    </row>
    <row r="1554" spans="1:19">
      <c r="A1554" s="1" t="s">
        <v>19</v>
      </c>
      <c r="B1554" s="2">
        <v>400</v>
      </c>
      <c r="C1554" s="1">
        <v>400</v>
      </c>
      <c r="D1554" s="1" t="s">
        <v>514</v>
      </c>
      <c r="E1554" s="1">
        <v>13</v>
      </c>
      <c r="F1554" s="3">
        <v>1900</v>
      </c>
      <c r="G1554" s="1">
        <v>5</v>
      </c>
      <c r="H1554" s="1" t="s">
        <v>2976</v>
      </c>
      <c r="I1554" s="1" t="s">
        <v>319</v>
      </c>
      <c r="J1554" s="1" t="s">
        <v>16</v>
      </c>
      <c r="K1554" s="1" t="s">
        <v>2960</v>
      </c>
      <c r="L1554" s="1" t="s">
        <v>2743</v>
      </c>
      <c r="M1554">
        <f t="shared" si="168"/>
        <v>400</v>
      </c>
      <c r="N1554" t="str">
        <f t="shared" si="169"/>
        <v>1936-04-01</v>
      </c>
      <c r="O1554">
        <f t="shared" si="170"/>
        <v>76</v>
      </c>
      <c r="P1554" t="str">
        <f t="shared" si="171"/>
        <v>kobieta</v>
      </c>
      <c r="Q1554">
        <f t="shared" si="172"/>
        <v>125</v>
      </c>
      <c r="R1554">
        <f t="shared" si="173"/>
        <v>48</v>
      </c>
      <c r="S1554">
        <f t="shared" ca="1" si="174"/>
        <v>0</v>
      </c>
    </row>
    <row r="1555" spans="1:19">
      <c r="A1555" s="1" t="s">
        <v>12</v>
      </c>
      <c r="B1555" s="2">
        <v>450</v>
      </c>
      <c r="C1555" s="1">
        <v>450</v>
      </c>
      <c r="D1555" s="1" t="s">
        <v>718</v>
      </c>
      <c r="E1555" s="1">
        <v>11</v>
      </c>
      <c r="F1555" s="3">
        <v>2300</v>
      </c>
      <c r="G1555" s="1">
        <v>1</v>
      </c>
      <c r="H1555" s="1" t="s">
        <v>2977</v>
      </c>
      <c r="I1555" s="1" t="s">
        <v>720</v>
      </c>
      <c r="J1555" s="1" t="s">
        <v>16</v>
      </c>
      <c r="K1555" s="1" t="s">
        <v>2960</v>
      </c>
      <c r="L1555" s="1" t="s">
        <v>2330</v>
      </c>
      <c r="M1555">
        <f t="shared" si="168"/>
        <v>450</v>
      </c>
      <c r="N1555" t="str">
        <f t="shared" si="169"/>
        <v>1965-03-18</v>
      </c>
      <c r="O1555">
        <f t="shared" si="170"/>
        <v>47</v>
      </c>
      <c r="P1555" t="str">
        <f t="shared" si="171"/>
        <v>mężczyzna</v>
      </c>
      <c r="Q1555">
        <f t="shared" si="172"/>
        <v>124</v>
      </c>
      <c r="R1555">
        <f t="shared" si="173"/>
        <v>48</v>
      </c>
      <c r="S1555">
        <f t="shared" ca="1" si="174"/>
        <v>0</v>
      </c>
    </row>
    <row r="1556" spans="1:19">
      <c r="A1556" s="1" t="s">
        <v>19</v>
      </c>
      <c r="B1556" s="2">
        <v>389.72</v>
      </c>
      <c r="C1556" s="1">
        <v>389.72</v>
      </c>
      <c r="D1556" s="1" t="s">
        <v>508</v>
      </c>
      <c r="E1556" s="1">
        <v>98</v>
      </c>
      <c r="F1556" s="3">
        <v>3000</v>
      </c>
      <c r="G1556" s="1">
        <v>5</v>
      </c>
      <c r="H1556" s="1" t="s">
        <v>2978</v>
      </c>
      <c r="I1556" s="1" t="s">
        <v>333</v>
      </c>
      <c r="J1556" s="1" t="s">
        <v>16</v>
      </c>
      <c r="K1556" s="1" t="s">
        <v>2960</v>
      </c>
      <c r="L1556" s="1" t="s">
        <v>2743</v>
      </c>
      <c r="M1556">
        <f t="shared" si="168"/>
        <v>389.72</v>
      </c>
      <c r="N1556" t="str">
        <f t="shared" si="169"/>
        <v>1959-03-02</v>
      </c>
      <c r="O1556">
        <f t="shared" si="170"/>
        <v>53</v>
      </c>
      <c r="P1556" t="str">
        <f t="shared" si="171"/>
        <v>kobieta</v>
      </c>
      <c r="Q1556">
        <f t="shared" si="172"/>
        <v>89</v>
      </c>
      <c r="R1556">
        <f t="shared" si="173"/>
        <v>48</v>
      </c>
      <c r="S1556">
        <f t="shared" ca="1" si="174"/>
        <v>0</v>
      </c>
    </row>
    <row r="1557" spans="1:19">
      <c r="A1557" s="1" t="s">
        <v>12</v>
      </c>
      <c r="B1557" s="2">
        <v>200</v>
      </c>
      <c r="C1557" s="1">
        <v>200</v>
      </c>
      <c r="D1557" s="1" t="s">
        <v>555</v>
      </c>
      <c r="E1557" s="1">
        <v>99</v>
      </c>
      <c r="F1557" s="3">
        <v>1100</v>
      </c>
      <c r="G1557" s="1">
        <v>6</v>
      </c>
      <c r="H1557" s="1" t="s">
        <v>2979</v>
      </c>
      <c r="I1557" s="1" t="s">
        <v>557</v>
      </c>
      <c r="J1557" s="1" t="s">
        <v>246</v>
      </c>
      <c r="K1557" s="1" t="s">
        <v>2960</v>
      </c>
      <c r="L1557" s="1" t="s">
        <v>2743</v>
      </c>
      <c r="M1557">
        <f t="shared" si="168"/>
        <v>200</v>
      </c>
      <c r="N1557" t="str">
        <f t="shared" si="169"/>
        <v>1958-10-15</v>
      </c>
      <c r="O1557">
        <f t="shared" si="170"/>
        <v>54</v>
      </c>
      <c r="P1557" t="str">
        <f t="shared" si="171"/>
        <v>kobieta</v>
      </c>
      <c r="Q1557">
        <f t="shared" si="172"/>
        <v>56</v>
      </c>
      <c r="R1557">
        <f t="shared" si="173"/>
        <v>1</v>
      </c>
      <c r="S1557">
        <f t="shared" ca="1" si="174"/>
        <v>0</v>
      </c>
    </row>
    <row r="1558" spans="1:19">
      <c r="A1558" s="1" t="s">
        <v>19</v>
      </c>
      <c r="B1558" s="2">
        <v>200</v>
      </c>
      <c r="C1558" s="1">
        <v>200</v>
      </c>
      <c r="D1558" s="1" t="s">
        <v>642</v>
      </c>
      <c r="E1558" s="1">
        <v>13</v>
      </c>
      <c r="F1558" s="3">
        <v>984</v>
      </c>
      <c r="G1558" s="1">
        <v>4</v>
      </c>
      <c r="H1558" s="1" t="s">
        <v>2980</v>
      </c>
      <c r="I1558" s="1" t="s">
        <v>644</v>
      </c>
      <c r="J1558" s="1" t="s">
        <v>16</v>
      </c>
      <c r="K1558" s="1" t="s">
        <v>2960</v>
      </c>
      <c r="L1558" s="1" t="s">
        <v>2743</v>
      </c>
      <c r="M1558">
        <f t="shared" si="168"/>
        <v>200</v>
      </c>
      <c r="N1558" t="str">
        <f t="shared" si="169"/>
        <v>1950-07-18</v>
      </c>
      <c r="O1558">
        <f t="shared" si="170"/>
        <v>62</v>
      </c>
      <c r="P1558" t="str">
        <f t="shared" si="171"/>
        <v>kobieta</v>
      </c>
      <c r="Q1558">
        <f t="shared" si="172"/>
        <v>15</v>
      </c>
      <c r="R1558">
        <f t="shared" si="173"/>
        <v>48</v>
      </c>
      <c r="S1558">
        <f t="shared" ca="1" si="174"/>
        <v>0</v>
      </c>
    </row>
    <row r="1559" spans="1:19">
      <c r="A1559" s="1" t="s">
        <v>12</v>
      </c>
      <c r="B1559" s="2">
        <v>290.83</v>
      </c>
      <c r="C1559" s="1">
        <v>290.83</v>
      </c>
      <c r="D1559" s="1" t="s">
        <v>222</v>
      </c>
      <c r="E1559" s="1">
        <v>13</v>
      </c>
      <c r="F1559" s="3">
        <v>1090.1400000000001</v>
      </c>
      <c r="G1559" s="1">
        <v>8</v>
      </c>
      <c r="H1559" s="1" t="s">
        <v>2981</v>
      </c>
      <c r="I1559" s="1" t="s">
        <v>224</v>
      </c>
      <c r="J1559" s="1" t="s">
        <v>16</v>
      </c>
      <c r="K1559" s="1" t="s">
        <v>2960</v>
      </c>
      <c r="L1559" s="1" t="s">
        <v>2927</v>
      </c>
      <c r="M1559">
        <f t="shared" si="168"/>
        <v>290.83</v>
      </c>
      <c r="N1559" t="str">
        <f t="shared" si="169"/>
        <v>1950-06-12</v>
      </c>
      <c r="O1559">
        <f t="shared" si="170"/>
        <v>62</v>
      </c>
      <c r="P1559" t="str">
        <f t="shared" si="171"/>
        <v>kobieta</v>
      </c>
      <c r="Q1559">
        <f t="shared" si="172"/>
        <v>79</v>
      </c>
      <c r="R1559">
        <f t="shared" si="173"/>
        <v>48</v>
      </c>
      <c r="S1559">
        <f t="shared" ca="1" si="174"/>
        <v>21</v>
      </c>
    </row>
    <row r="1560" spans="1:19">
      <c r="A1560" s="1" t="s">
        <v>12</v>
      </c>
      <c r="B1560" s="2">
        <v>500</v>
      </c>
      <c r="C1560" s="1">
        <v>500</v>
      </c>
      <c r="D1560" s="1" t="s">
        <v>525</v>
      </c>
      <c r="E1560" s="1">
        <v>13</v>
      </c>
      <c r="F1560" s="3">
        <v>1900</v>
      </c>
      <c r="G1560" s="1">
        <v>9</v>
      </c>
      <c r="H1560" s="1" t="s">
        <v>2982</v>
      </c>
      <c r="I1560" s="1" t="s">
        <v>527</v>
      </c>
      <c r="J1560" s="1" t="s">
        <v>16</v>
      </c>
      <c r="K1560" s="1" t="s">
        <v>2960</v>
      </c>
      <c r="L1560" s="1" t="s">
        <v>1943</v>
      </c>
      <c r="M1560">
        <f t="shared" si="168"/>
        <v>500</v>
      </c>
      <c r="N1560" t="str">
        <f t="shared" si="169"/>
        <v>1955-09-30</v>
      </c>
      <c r="O1560">
        <f t="shared" si="170"/>
        <v>57</v>
      </c>
      <c r="P1560" t="str">
        <f t="shared" si="171"/>
        <v>mężczyzna</v>
      </c>
      <c r="Q1560">
        <f t="shared" si="172"/>
        <v>154</v>
      </c>
      <c r="R1560">
        <f t="shared" si="173"/>
        <v>48</v>
      </c>
      <c r="S1560">
        <f t="shared" ca="1" si="174"/>
        <v>0</v>
      </c>
    </row>
    <row r="1561" spans="1:19">
      <c r="A1561" s="1" t="s">
        <v>12</v>
      </c>
      <c r="B1561" s="2">
        <v>476.83</v>
      </c>
      <c r="C1561" s="1">
        <v>476.83</v>
      </c>
      <c r="D1561" s="1" t="s">
        <v>678</v>
      </c>
      <c r="E1561" s="1">
        <v>11</v>
      </c>
      <c r="F1561" s="3">
        <v>1250</v>
      </c>
      <c r="G1561" s="1">
        <v>0</v>
      </c>
      <c r="H1561" s="1" t="s">
        <v>2983</v>
      </c>
      <c r="I1561" s="1" t="s">
        <v>680</v>
      </c>
      <c r="J1561" s="1" t="s">
        <v>16</v>
      </c>
      <c r="K1561" s="1" t="s">
        <v>2960</v>
      </c>
      <c r="L1561" s="1" t="s">
        <v>2849</v>
      </c>
      <c r="M1561">
        <f t="shared" si="168"/>
        <v>476.83</v>
      </c>
      <c r="N1561" t="str">
        <f t="shared" si="169"/>
        <v>1950-01-28</v>
      </c>
      <c r="O1561">
        <f t="shared" si="170"/>
        <v>62</v>
      </c>
      <c r="P1561" t="str">
        <f t="shared" si="171"/>
        <v>mężczyzna</v>
      </c>
      <c r="Q1561">
        <f t="shared" si="172"/>
        <v>69</v>
      </c>
      <c r="R1561">
        <f t="shared" si="173"/>
        <v>48</v>
      </c>
      <c r="S1561">
        <f t="shared" ca="1" si="174"/>
        <v>16</v>
      </c>
    </row>
    <row r="1562" spans="1:19">
      <c r="A1562" s="1" t="s">
        <v>19</v>
      </c>
      <c r="B1562" s="2">
        <v>326.67</v>
      </c>
      <c r="C1562" s="1">
        <v>326.67</v>
      </c>
      <c r="D1562" s="1" t="s">
        <v>601</v>
      </c>
      <c r="E1562" s="1">
        <v>13</v>
      </c>
      <c r="F1562" s="3">
        <v>1668</v>
      </c>
      <c r="G1562" s="1">
        <v>9</v>
      </c>
      <c r="H1562" s="1" t="s">
        <v>2984</v>
      </c>
      <c r="I1562" s="1" t="s">
        <v>242</v>
      </c>
      <c r="J1562" s="1" t="s">
        <v>16</v>
      </c>
      <c r="K1562" s="1" t="s">
        <v>2960</v>
      </c>
      <c r="L1562" s="1" t="s">
        <v>2813</v>
      </c>
      <c r="M1562">
        <f t="shared" si="168"/>
        <v>326.67</v>
      </c>
      <c r="N1562" t="str">
        <f t="shared" si="169"/>
        <v>1948-07-31</v>
      </c>
      <c r="O1562">
        <f t="shared" si="170"/>
        <v>64</v>
      </c>
      <c r="P1562" t="str">
        <f t="shared" si="171"/>
        <v>kobieta</v>
      </c>
      <c r="Q1562">
        <f t="shared" si="172"/>
        <v>95</v>
      </c>
      <c r="R1562">
        <f t="shared" si="173"/>
        <v>48</v>
      </c>
      <c r="S1562">
        <f t="shared" ca="1" si="174"/>
        <v>2</v>
      </c>
    </row>
    <row r="1563" spans="1:19">
      <c r="A1563" s="1" t="s">
        <v>19</v>
      </c>
      <c r="B1563" s="2">
        <v>500</v>
      </c>
      <c r="C1563" s="1">
        <v>300</v>
      </c>
      <c r="D1563" s="1" t="s">
        <v>1115</v>
      </c>
      <c r="E1563" s="1">
        <v>11</v>
      </c>
      <c r="F1563" s="3">
        <v>1900</v>
      </c>
      <c r="G1563" s="1">
        <v>0</v>
      </c>
      <c r="H1563" s="1" t="s">
        <v>2985</v>
      </c>
      <c r="I1563" s="1" t="s">
        <v>1117</v>
      </c>
      <c r="J1563" s="1" t="s">
        <v>16</v>
      </c>
      <c r="K1563" s="1" t="s">
        <v>2960</v>
      </c>
      <c r="L1563" s="1" t="s">
        <v>1943</v>
      </c>
      <c r="M1563">
        <f t="shared" si="168"/>
        <v>300</v>
      </c>
      <c r="N1563" t="str">
        <f t="shared" si="169"/>
        <v>1982-03-31</v>
      </c>
      <c r="O1563">
        <f t="shared" si="170"/>
        <v>30</v>
      </c>
      <c r="P1563" t="str">
        <f t="shared" si="171"/>
        <v>mężczyzna</v>
      </c>
      <c r="Q1563">
        <f t="shared" si="172"/>
        <v>62</v>
      </c>
      <c r="R1563">
        <f t="shared" si="173"/>
        <v>48</v>
      </c>
      <c r="S1563">
        <f t="shared" ca="1" si="174"/>
        <v>0</v>
      </c>
    </row>
    <row r="1564" spans="1:19">
      <c r="A1564" s="1" t="s">
        <v>19</v>
      </c>
      <c r="B1564" s="2">
        <v>299.42</v>
      </c>
      <c r="C1564" s="1">
        <v>299.42</v>
      </c>
      <c r="D1564" s="1" t="s">
        <v>2301</v>
      </c>
      <c r="E1564" s="1">
        <v>13</v>
      </c>
      <c r="F1564" s="3">
        <v>1239</v>
      </c>
      <c r="G1564" s="1">
        <v>1</v>
      </c>
      <c r="H1564" s="1" t="s">
        <v>2986</v>
      </c>
      <c r="I1564" s="1" t="s">
        <v>2303</v>
      </c>
      <c r="J1564" s="1" t="s">
        <v>16</v>
      </c>
      <c r="K1564" s="1" t="s">
        <v>2960</v>
      </c>
      <c r="L1564" s="1" t="s">
        <v>2813</v>
      </c>
      <c r="M1564">
        <f t="shared" si="168"/>
        <v>299.42</v>
      </c>
      <c r="N1564" t="str">
        <f t="shared" si="169"/>
        <v>1934-02-15</v>
      </c>
      <c r="O1564">
        <f t="shared" si="170"/>
        <v>78</v>
      </c>
      <c r="P1564" t="str">
        <f t="shared" si="171"/>
        <v>kobieta</v>
      </c>
      <c r="Q1564">
        <f t="shared" si="172"/>
        <v>274</v>
      </c>
      <c r="R1564">
        <f t="shared" si="173"/>
        <v>48</v>
      </c>
      <c r="S1564">
        <f t="shared" ca="1" si="174"/>
        <v>2</v>
      </c>
    </row>
    <row r="1565" spans="1:19">
      <c r="A1565" s="1" t="s">
        <v>19</v>
      </c>
      <c r="B1565" s="2">
        <v>500</v>
      </c>
      <c r="C1565" s="1">
        <v>500</v>
      </c>
      <c r="D1565" s="1" t="s">
        <v>1525</v>
      </c>
      <c r="E1565" s="1">
        <v>13</v>
      </c>
      <c r="F1565" s="3">
        <v>1150</v>
      </c>
      <c r="G1565" s="1">
        <v>1</v>
      </c>
      <c r="H1565" s="1" t="s">
        <v>2987</v>
      </c>
      <c r="I1565" s="1" t="s">
        <v>1527</v>
      </c>
      <c r="J1565" s="1" t="s">
        <v>16</v>
      </c>
      <c r="K1565" s="1" t="s">
        <v>2960</v>
      </c>
      <c r="L1565" s="1" t="s">
        <v>2875</v>
      </c>
      <c r="M1565">
        <f t="shared" si="168"/>
        <v>500</v>
      </c>
      <c r="N1565" t="str">
        <f t="shared" si="169"/>
        <v>1936-04-17</v>
      </c>
      <c r="O1565">
        <f t="shared" si="170"/>
        <v>76</v>
      </c>
      <c r="P1565" t="str">
        <f t="shared" si="171"/>
        <v>mężczyzna</v>
      </c>
      <c r="Q1565">
        <f t="shared" si="172"/>
        <v>142</v>
      </c>
      <c r="R1565">
        <f t="shared" si="173"/>
        <v>48</v>
      </c>
      <c r="S1565">
        <f t="shared" ca="1" si="174"/>
        <v>8</v>
      </c>
    </row>
    <row r="1566" spans="1:19">
      <c r="A1566" s="1" t="s">
        <v>19</v>
      </c>
      <c r="B1566" s="2">
        <v>200</v>
      </c>
      <c r="C1566" s="1">
        <v>200</v>
      </c>
      <c r="D1566" s="1" t="s">
        <v>612</v>
      </c>
      <c r="E1566" s="1">
        <v>13</v>
      </c>
      <c r="F1566" s="3">
        <v>865</v>
      </c>
      <c r="G1566" s="1">
        <v>9</v>
      </c>
      <c r="H1566" s="1" t="s">
        <v>2988</v>
      </c>
      <c r="I1566" s="1" t="s">
        <v>614</v>
      </c>
      <c r="J1566" s="1" t="s">
        <v>16</v>
      </c>
      <c r="K1566" s="1" t="s">
        <v>2960</v>
      </c>
      <c r="L1566" s="1" t="s">
        <v>2901</v>
      </c>
      <c r="M1566">
        <f t="shared" si="168"/>
        <v>200</v>
      </c>
      <c r="N1566" t="str">
        <f t="shared" si="169"/>
        <v>1941-03-18</v>
      </c>
      <c r="O1566">
        <f t="shared" si="170"/>
        <v>71</v>
      </c>
      <c r="P1566" t="str">
        <f t="shared" si="171"/>
        <v>kobieta</v>
      </c>
      <c r="Q1566">
        <f t="shared" si="172"/>
        <v>132</v>
      </c>
      <c r="R1566">
        <f t="shared" si="173"/>
        <v>48</v>
      </c>
      <c r="S1566">
        <f t="shared" ca="1" si="174"/>
        <v>3</v>
      </c>
    </row>
    <row r="1567" spans="1:19">
      <c r="A1567" s="1" t="s">
        <v>309</v>
      </c>
      <c r="B1567" s="2">
        <v>300</v>
      </c>
      <c r="C1567" s="1">
        <v>300</v>
      </c>
      <c r="D1567" s="1" t="s">
        <v>1852</v>
      </c>
      <c r="E1567" s="1">
        <v>13</v>
      </c>
      <c r="F1567" s="3">
        <v>1400</v>
      </c>
      <c r="G1567" s="1">
        <v>2</v>
      </c>
      <c r="H1567" s="1" t="s">
        <v>2989</v>
      </c>
      <c r="I1567" s="1" t="s">
        <v>1854</v>
      </c>
      <c r="J1567" s="1" t="s">
        <v>16</v>
      </c>
      <c r="K1567" s="1" t="s">
        <v>2960</v>
      </c>
      <c r="L1567" s="1" t="s">
        <v>2990</v>
      </c>
      <c r="M1567">
        <f t="shared" si="168"/>
        <v>300</v>
      </c>
      <c r="N1567" t="str">
        <f t="shared" si="169"/>
        <v>1946-04-13</v>
      </c>
      <c r="O1567">
        <f t="shared" si="170"/>
        <v>66</v>
      </c>
      <c r="P1567" t="str">
        <f t="shared" si="171"/>
        <v>kobieta</v>
      </c>
      <c r="Q1567">
        <f t="shared" si="172"/>
        <v>122</v>
      </c>
      <c r="R1567">
        <f t="shared" si="173"/>
        <v>48</v>
      </c>
      <c r="S1567">
        <f t="shared" ca="1" si="174"/>
        <v>164</v>
      </c>
    </row>
    <row r="1568" spans="1:19">
      <c r="A1568" s="1" t="s">
        <v>19</v>
      </c>
      <c r="B1568" s="2">
        <v>400</v>
      </c>
      <c r="C1568" s="1">
        <v>200</v>
      </c>
      <c r="D1568" s="1" t="s">
        <v>2991</v>
      </c>
      <c r="E1568" s="1">
        <v>13</v>
      </c>
      <c r="F1568" s="3">
        <v>796.09</v>
      </c>
      <c r="G1568" s="1">
        <v>0</v>
      </c>
      <c r="H1568" s="1" t="s">
        <v>2992</v>
      </c>
      <c r="I1568" s="1" t="s">
        <v>2717</v>
      </c>
      <c r="J1568" s="1" t="s">
        <v>16</v>
      </c>
      <c r="K1568" s="1" t="s">
        <v>2960</v>
      </c>
      <c r="L1568" s="1" t="s">
        <v>1943</v>
      </c>
      <c r="M1568">
        <f t="shared" si="168"/>
        <v>200</v>
      </c>
      <c r="N1568" t="str">
        <f t="shared" si="169"/>
        <v>1947-09-13</v>
      </c>
      <c r="O1568">
        <f t="shared" si="170"/>
        <v>65</v>
      </c>
      <c r="P1568" t="str">
        <f t="shared" si="171"/>
        <v>kobieta</v>
      </c>
      <c r="Q1568">
        <f t="shared" si="172"/>
        <v>60</v>
      </c>
      <c r="R1568">
        <f t="shared" si="173"/>
        <v>48</v>
      </c>
      <c r="S1568">
        <f t="shared" ca="1" si="174"/>
        <v>0</v>
      </c>
    </row>
    <row r="1569" spans="1:19">
      <c r="A1569" s="1" t="s">
        <v>12</v>
      </c>
      <c r="B1569" s="2">
        <v>300</v>
      </c>
      <c r="C1569" s="1">
        <v>300</v>
      </c>
      <c r="D1569" s="1" t="s">
        <v>1062</v>
      </c>
      <c r="E1569" s="1">
        <v>16</v>
      </c>
      <c r="F1569" s="3">
        <v>1740</v>
      </c>
      <c r="G1569" s="1">
        <v>2</v>
      </c>
      <c r="H1569" s="1" t="s">
        <v>2993</v>
      </c>
      <c r="I1569" s="1" t="s">
        <v>1064</v>
      </c>
      <c r="J1569" s="1" t="s">
        <v>16</v>
      </c>
      <c r="K1569" s="1" t="s">
        <v>2960</v>
      </c>
      <c r="L1569" s="1" t="s">
        <v>2802</v>
      </c>
      <c r="M1569">
        <f t="shared" si="168"/>
        <v>300</v>
      </c>
      <c r="N1569" t="str">
        <f t="shared" si="169"/>
        <v>1958-04-26</v>
      </c>
      <c r="O1569">
        <f t="shared" si="170"/>
        <v>54</v>
      </c>
      <c r="P1569" t="str">
        <f t="shared" si="171"/>
        <v>kobieta</v>
      </c>
      <c r="Q1569">
        <f t="shared" si="172"/>
        <v>118</v>
      </c>
      <c r="R1569">
        <f t="shared" si="173"/>
        <v>48</v>
      </c>
      <c r="S1569">
        <f t="shared" ca="1" si="174"/>
        <v>11</v>
      </c>
    </row>
    <row r="1570" spans="1:19">
      <c r="A1570" s="1" t="s">
        <v>19</v>
      </c>
      <c r="B1570" s="2">
        <v>397.11</v>
      </c>
      <c r="C1570" s="1">
        <v>397.11</v>
      </c>
      <c r="D1570" s="1" t="s">
        <v>2460</v>
      </c>
      <c r="E1570" s="1">
        <v>13</v>
      </c>
      <c r="F1570" s="3">
        <v>4200</v>
      </c>
      <c r="G1570" s="1">
        <v>1</v>
      </c>
      <c r="H1570" s="1" t="s">
        <v>2994</v>
      </c>
      <c r="I1570" s="1" t="s">
        <v>916</v>
      </c>
      <c r="J1570" s="1" t="s">
        <v>16</v>
      </c>
      <c r="K1570" s="1" t="s">
        <v>47</v>
      </c>
      <c r="L1570" s="1" t="s">
        <v>2568</v>
      </c>
      <c r="M1570">
        <f t="shared" si="168"/>
        <v>397.11</v>
      </c>
      <c r="N1570" t="str">
        <f t="shared" si="169"/>
        <v>1960-05-07</v>
      </c>
      <c r="O1570">
        <f t="shared" si="170"/>
        <v>52</v>
      </c>
      <c r="P1570" t="str">
        <f t="shared" si="171"/>
        <v>mężczyzna</v>
      </c>
      <c r="Q1570">
        <f t="shared" si="172"/>
        <v>61</v>
      </c>
      <c r="R1570">
        <f t="shared" si="173"/>
        <v>48</v>
      </c>
      <c r="S1570">
        <f t="shared" ca="1" si="174"/>
        <v>0</v>
      </c>
    </row>
    <row r="1571" spans="1:19">
      <c r="A1571" s="1" t="s">
        <v>12</v>
      </c>
      <c r="B1571" s="2">
        <v>300</v>
      </c>
      <c r="C1571" s="1">
        <v>300</v>
      </c>
      <c r="D1571" s="1" t="s">
        <v>2064</v>
      </c>
      <c r="E1571" s="1">
        <v>11</v>
      </c>
      <c r="F1571" s="3">
        <v>1660</v>
      </c>
      <c r="G1571" s="1">
        <v>0</v>
      </c>
      <c r="H1571" s="1" t="s">
        <v>2995</v>
      </c>
      <c r="I1571" s="1" t="s">
        <v>448</v>
      </c>
      <c r="J1571" s="1" t="s">
        <v>16</v>
      </c>
      <c r="K1571" s="1" t="s">
        <v>47</v>
      </c>
      <c r="L1571" s="1" t="s">
        <v>2973</v>
      </c>
      <c r="M1571">
        <f t="shared" si="168"/>
        <v>300</v>
      </c>
      <c r="N1571" t="str">
        <f t="shared" si="169"/>
        <v>1948-02-26</v>
      </c>
      <c r="O1571">
        <f t="shared" si="170"/>
        <v>64</v>
      </c>
      <c r="P1571" t="str">
        <f t="shared" si="171"/>
        <v>mężczyzna</v>
      </c>
      <c r="Q1571">
        <f t="shared" si="172"/>
        <v>54</v>
      </c>
      <c r="R1571">
        <f t="shared" si="173"/>
        <v>48</v>
      </c>
      <c r="S1571">
        <f t="shared" ca="1" si="174"/>
        <v>3</v>
      </c>
    </row>
    <row r="1572" spans="1:19">
      <c r="A1572" s="1" t="s">
        <v>19</v>
      </c>
      <c r="B1572" s="2">
        <v>500</v>
      </c>
      <c r="C1572" s="1">
        <v>300</v>
      </c>
      <c r="D1572" s="1" t="s">
        <v>2996</v>
      </c>
      <c r="E1572" s="1">
        <v>12</v>
      </c>
      <c r="F1572" s="3">
        <v>1323.55</v>
      </c>
      <c r="G1572" s="1">
        <v>0</v>
      </c>
      <c r="H1572" s="1" t="s">
        <v>2997</v>
      </c>
      <c r="I1572" s="1" t="s">
        <v>2998</v>
      </c>
      <c r="J1572" s="1" t="s">
        <v>2999</v>
      </c>
      <c r="K1572" s="1" t="s">
        <v>47</v>
      </c>
      <c r="L1572" s="1" t="s">
        <v>3000</v>
      </c>
      <c r="M1572">
        <f t="shared" si="168"/>
        <v>300</v>
      </c>
      <c r="N1572" t="str">
        <f t="shared" si="169"/>
        <v>1972-10-31</v>
      </c>
      <c r="O1572">
        <f t="shared" si="170"/>
        <v>40</v>
      </c>
      <c r="P1572" t="str">
        <f t="shared" si="171"/>
        <v>kobieta</v>
      </c>
      <c r="Q1572">
        <f t="shared" si="172"/>
        <v>54</v>
      </c>
      <c r="R1572">
        <f t="shared" si="173"/>
        <v>21</v>
      </c>
      <c r="S1572">
        <f t="shared" ca="1" si="174"/>
        <v>7</v>
      </c>
    </row>
    <row r="1573" spans="1:19">
      <c r="A1573" s="1" t="s">
        <v>19</v>
      </c>
      <c r="B1573" s="2">
        <v>384.3</v>
      </c>
      <c r="C1573" s="1">
        <v>384.3</v>
      </c>
      <c r="D1573" s="1" t="s">
        <v>652</v>
      </c>
      <c r="E1573" s="1">
        <v>11</v>
      </c>
      <c r="F1573" s="3">
        <v>1058</v>
      </c>
      <c r="G1573" s="1">
        <v>4</v>
      </c>
      <c r="H1573" s="1" t="s">
        <v>3001</v>
      </c>
      <c r="I1573" s="1" t="s">
        <v>151</v>
      </c>
      <c r="J1573" s="1" t="s">
        <v>16</v>
      </c>
      <c r="K1573" s="1" t="s">
        <v>47</v>
      </c>
      <c r="L1573" s="1" t="s">
        <v>2568</v>
      </c>
      <c r="M1573">
        <f t="shared" si="168"/>
        <v>384.3</v>
      </c>
      <c r="N1573" t="str">
        <f t="shared" si="169"/>
        <v>1976-10-05</v>
      </c>
      <c r="O1573">
        <f t="shared" si="170"/>
        <v>36</v>
      </c>
      <c r="P1573" t="str">
        <f t="shared" si="171"/>
        <v>mężczyzna</v>
      </c>
      <c r="Q1573">
        <f t="shared" si="172"/>
        <v>18</v>
      </c>
      <c r="R1573">
        <f t="shared" si="173"/>
        <v>48</v>
      </c>
      <c r="S1573">
        <f t="shared" ca="1" si="174"/>
        <v>0</v>
      </c>
    </row>
    <row r="1574" spans="1:19">
      <c r="A1574" s="1" t="s">
        <v>12</v>
      </c>
      <c r="B1574" s="2">
        <v>200</v>
      </c>
      <c r="C1574" s="1">
        <v>200</v>
      </c>
      <c r="D1574" s="1" t="s">
        <v>724</v>
      </c>
      <c r="E1574" s="1">
        <v>12</v>
      </c>
      <c r="F1574" s="3">
        <v>1100</v>
      </c>
      <c r="G1574" s="1">
        <v>0</v>
      </c>
      <c r="H1574" s="1" t="s">
        <v>3002</v>
      </c>
      <c r="I1574" s="1" t="s">
        <v>726</v>
      </c>
      <c r="J1574" s="1" t="s">
        <v>129</v>
      </c>
      <c r="K1574" s="1" t="s">
        <v>47</v>
      </c>
      <c r="L1574" s="1" t="s">
        <v>2886</v>
      </c>
      <c r="M1574">
        <f t="shared" si="168"/>
        <v>200</v>
      </c>
      <c r="N1574" t="str">
        <f t="shared" si="169"/>
        <v>1985-12-22</v>
      </c>
      <c r="O1574">
        <f t="shared" si="170"/>
        <v>27</v>
      </c>
      <c r="P1574" t="str">
        <f t="shared" si="171"/>
        <v>mężczyzna</v>
      </c>
      <c r="Q1574">
        <f t="shared" si="172"/>
        <v>37</v>
      </c>
      <c r="R1574">
        <f t="shared" si="173"/>
        <v>22</v>
      </c>
      <c r="S1574">
        <f t="shared" ca="1" si="174"/>
        <v>2</v>
      </c>
    </row>
    <row r="1575" spans="1:19">
      <c r="A1575" s="1" t="s">
        <v>19</v>
      </c>
      <c r="B1575" s="2">
        <v>300</v>
      </c>
      <c r="C1575" s="1">
        <v>300</v>
      </c>
      <c r="D1575" s="1" t="s">
        <v>3003</v>
      </c>
      <c r="E1575" s="1">
        <v>11</v>
      </c>
      <c r="F1575" s="3">
        <v>1686</v>
      </c>
      <c r="G1575" s="1">
        <v>0</v>
      </c>
      <c r="H1575" s="1" t="s">
        <v>3004</v>
      </c>
      <c r="I1575" s="1" t="s">
        <v>634</v>
      </c>
      <c r="J1575" s="1" t="s">
        <v>16</v>
      </c>
      <c r="K1575" s="1" t="s">
        <v>47</v>
      </c>
      <c r="L1575" s="1" t="s">
        <v>2568</v>
      </c>
      <c r="M1575">
        <f t="shared" si="168"/>
        <v>300</v>
      </c>
      <c r="N1575" t="str">
        <f t="shared" si="169"/>
        <v>1957-10-09</v>
      </c>
      <c r="O1575">
        <f t="shared" si="170"/>
        <v>55</v>
      </c>
      <c r="P1575" t="str">
        <f t="shared" si="171"/>
        <v>kobieta</v>
      </c>
      <c r="Q1575">
        <f t="shared" si="172"/>
        <v>102</v>
      </c>
      <c r="R1575">
        <f t="shared" si="173"/>
        <v>48</v>
      </c>
      <c r="S1575">
        <f t="shared" ca="1" si="174"/>
        <v>0</v>
      </c>
    </row>
    <row r="1576" spans="1:19">
      <c r="A1576" s="1" t="s">
        <v>19</v>
      </c>
      <c r="B1576" s="2">
        <v>299.01</v>
      </c>
      <c r="C1576" s="1">
        <v>299.01</v>
      </c>
      <c r="D1576" s="1" t="s">
        <v>713</v>
      </c>
      <c r="E1576" s="1">
        <v>11</v>
      </c>
      <c r="F1576" s="3">
        <v>1400</v>
      </c>
      <c r="G1576" s="1">
        <v>5</v>
      </c>
      <c r="H1576" s="1" t="s">
        <v>3005</v>
      </c>
      <c r="I1576" s="1" t="s">
        <v>234</v>
      </c>
      <c r="J1576" s="1" t="s">
        <v>16</v>
      </c>
      <c r="K1576" s="1" t="s">
        <v>47</v>
      </c>
      <c r="L1576" s="1" t="s">
        <v>2886</v>
      </c>
      <c r="M1576">
        <f t="shared" si="168"/>
        <v>299.01</v>
      </c>
      <c r="N1576" t="str">
        <f t="shared" si="169"/>
        <v>1959-07-27</v>
      </c>
      <c r="O1576">
        <f t="shared" si="170"/>
        <v>53</v>
      </c>
      <c r="P1576" t="str">
        <f t="shared" si="171"/>
        <v>kobieta</v>
      </c>
      <c r="Q1576">
        <f t="shared" si="172"/>
        <v>165</v>
      </c>
      <c r="R1576">
        <f t="shared" si="173"/>
        <v>48</v>
      </c>
      <c r="S1576">
        <f t="shared" ca="1" si="174"/>
        <v>2</v>
      </c>
    </row>
    <row r="1577" spans="1:19">
      <c r="A1577" s="1" t="s">
        <v>56</v>
      </c>
      <c r="B1577" s="2">
        <v>200</v>
      </c>
      <c r="C1577" s="1">
        <v>200</v>
      </c>
      <c r="D1577" s="1" t="s">
        <v>528</v>
      </c>
      <c r="E1577" s="1">
        <v>17</v>
      </c>
      <c r="F1577" s="3">
        <v>728</v>
      </c>
      <c r="G1577" s="1">
        <v>9</v>
      </c>
      <c r="H1577" s="1" t="s">
        <v>3006</v>
      </c>
      <c r="I1577" s="1" t="s">
        <v>530</v>
      </c>
      <c r="J1577" s="1" t="s">
        <v>531</v>
      </c>
      <c r="K1577" s="1" t="s">
        <v>47</v>
      </c>
      <c r="L1577" s="1" t="s">
        <v>28</v>
      </c>
      <c r="M1577">
        <f t="shared" si="168"/>
        <v>200</v>
      </c>
      <c r="N1577" t="str">
        <f t="shared" si="169"/>
        <v>1984-09-24</v>
      </c>
      <c r="O1577">
        <f t="shared" si="170"/>
        <v>28</v>
      </c>
      <c r="P1577" t="str">
        <f t="shared" si="171"/>
        <v>mężczyzna</v>
      </c>
      <c r="Q1577">
        <f t="shared" si="172"/>
        <v>104</v>
      </c>
      <c r="R1577">
        <f t="shared" si="173"/>
        <v>26</v>
      </c>
      <c r="S1577">
        <f t="shared" ca="1" si="174"/>
        <v>5137</v>
      </c>
    </row>
    <row r="1578" spans="1:19">
      <c r="A1578" s="1" t="s">
        <v>19</v>
      </c>
      <c r="B1578" s="2">
        <v>200</v>
      </c>
      <c r="C1578" s="1">
        <v>200</v>
      </c>
      <c r="D1578" s="1" t="s">
        <v>104</v>
      </c>
      <c r="E1578" s="1">
        <v>17</v>
      </c>
      <c r="F1578" s="3">
        <v>985</v>
      </c>
      <c r="G1578" s="1">
        <v>0</v>
      </c>
      <c r="H1578" s="1" t="s">
        <v>3007</v>
      </c>
      <c r="I1578" s="1" t="s">
        <v>106</v>
      </c>
      <c r="J1578" s="1" t="s">
        <v>3008</v>
      </c>
      <c r="K1578" s="1" t="s">
        <v>47</v>
      </c>
      <c r="L1578" s="1" t="s">
        <v>2637</v>
      </c>
      <c r="M1578">
        <f t="shared" si="168"/>
        <v>200</v>
      </c>
      <c r="N1578" t="str">
        <f t="shared" si="169"/>
        <v>1991-01-04</v>
      </c>
      <c r="O1578">
        <f t="shared" si="170"/>
        <v>21</v>
      </c>
      <c r="P1578" t="str">
        <f t="shared" si="171"/>
        <v>mężczyzna</v>
      </c>
      <c r="Q1578">
        <f t="shared" si="172"/>
        <v>17</v>
      </c>
      <c r="R1578">
        <f t="shared" si="173"/>
        <v>3</v>
      </c>
      <c r="S1578">
        <f t="shared" ca="1" si="174"/>
        <v>0</v>
      </c>
    </row>
    <row r="1579" spans="1:19">
      <c r="A1579" s="1" t="s">
        <v>12</v>
      </c>
      <c r="B1579" s="2">
        <v>500</v>
      </c>
      <c r="C1579" s="1">
        <v>500</v>
      </c>
      <c r="D1579" s="1" t="s">
        <v>2426</v>
      </c>
      <c r="E1579" s="1">
        <v>12</v>
      </c>
      <c r="F1579" s="3">
        <v>2000</v>
      </c>
      <c r="G1579" s="1">
        <v>1</v>
      </c>
      <c r="H1579" s="1" t="s">
        <v>3009</v>
      </c>
      <c r="I1579" s="1" t="s">
        <v>2428</v>
      </c>
      <c r="J1579" s="1" t="s">
        <v>1840</v>
      </c>
      <c r="K1579" s="1" t="s">
        <v>47</v>
      </c>
      <c r="L1579" s="1" t="s">
        <v>2813</v>
      </c>
      <c r="M1579">
        <f t="shared" si="168"/>
        <v>500</v>
      </c>
      <c r="N1579" t="str">
        <f t="shared" si="169"/>
        <v>1975-03-18</v>
      </c>
      <c r="O1579">
        <f t="shared" si="170"/>
        <v>37</v>
      </c>
      <c r="P1579" t="str">
        <f t="shared" si="171"/>
        <v>mężczyzna</v>
      </c>
      <c r="Q1579">
        <f t="shared" si="172"/>
        <v>37</v>
      </c>
      <c r="R1579">
        <f t="shared" si="173"/>
        <v>34</v>
      </c>
      <c r="S1579">
        <f t="shared" ca="1" si="174"/>
        <v>0</v>
      </c>
    </row>
    <row r="1580" spans="1:19">
      <c r="A1580" s="1" t="s">
        <v>24</v>
      </c>
      <c r="B1580" s="2">
        <v>300</v>
      </c>
      <c r="C1580" s="1">
        <v>0</v>
      </c>
      <c r="D1580" s="1" t="s">
        <v>3010</v>
      </c>
      <c r="E1580" s="1">
        <v>12</v>
      </c>
      <c r="F1580" s="3">
        <v>1075</v>
      </c>
      <c r="G1580" s="1">
        <v>0</v>
      </c>
      <c r="H1580" s="1" t="s">
        <v>3011</v>
      </c>
      <c r="I1580" s="1" t="s">
        <v>3012</v>
      </c>
      <c r="J1580" s="1" t="s">
        <v>3013</v>
      </c>
      <c r="K1580" s="1" t="s">
        <v>16</v>
      </c>
      <c r="L1580" s="1" t="s">
        <v>28</v>
      </c>
      <c r="M1580">
        <f t="shared" si="168"/>
        <v>300</v>
      </c>
      <c r="N1580" t="str">
        <f t="shared" si="169"/>
        <v>1987-04-20</v>
      </c>
      <c r="O1580">
        <f t="shared" si="170"/>
        <v>25</v>
      </c>
      <c r="P1580" t="str">
        <f t="shared" si="171"/>
        <v>mężczyzna</v>
      </c>
      <c r="Q1580">
        <f t="shared" si="172"/>
        <v>4</v>
      </c>
      <c r="R1580">
        <f t="shared" si="173"/>
        <v>19</v>
      </c>
      <c r="S1580">
        <f t="shared" ca="1" si="174"/>
        <v>0</v>
      </c>
    </row>
    <row r="1581" spans="1:19">
      <c r="A1581" s="1" t="s">
        <v>19</v>
      </c>
      <c r="B1581" s="2">
        <v>200</v>
      </c>
      <c r="C1581" s="1">
        <v>200</v>
      </c>
      <c r="D1581" s="1" t="s">
        <v>3014</v>
      </c>
      <c r="E1581" s="1">
        <v>12</v>
      </c>
      <c r="F1581" s="3">
        <v>1600</v>
      </c>
      <c r="G1581" s="1">
        <v>0</v>
      </c>
      <c r="H1581" s="1" t="s">
        <v>3015</v>
      </c>
      <c r="I1581" s="1" t="s">
        <v>3016</v>
      </c>
      <c r="J1581" s="1" t="s">
        <v>1701</v>
      </c>
      <c r="K1581" s="1" t="s">
        <v>47</v>
      </c>
      <c r="L1581" s="1" t="s">
        <v>2568</v>
      </c>
      <c r="M1581">
        <f t="shared" si="168"/>
        <v>200</v>
      </c>
      <c r="N1581" t="str">
        <f t="shared" si="169"/>
        <v>1955-04-16</v>
      </c>
      <c r="O1581">
        <f t="shared" si="170"/>
        <v>57</v>
      </c>
      <c r="P1581" t="str">
        <f t="shared" si="171"/>
        <v>mężczyzna</v>
      </c>
      <c r="Q1581">
        <f t="shared" si="172"/>
        <v>39</v>
      </c>
      <c r="R1581">
        <f t="shared" si="173"/>
        <v>21</v>
      </c>
      <c r="S1581">
        <f t="shared" ca="1" si="174"/>
        <v>0</v>
      </c>
    </row>
    <row r="1582" spans="1:19">
      <c r="A1582" s="1" t="s">
        <v>12</v>
      </c>
      <c r="B1582" s="2">
        <v>200</v>
      </c>
      <c r="C1582" s="1">
        <v>200</v>
      </c>
      <c r="D1582" s="1" t="s">
        <v>1289</v>
      </c>
      <c r="E1582" s="1">
        <v>13</v>
      </c>
      <c r="F1582" s="3">
        <v>1611</v>
      </c>
      <c r="G1582" s="1">
        <v>1</v>
      </c>
      <c r="H1582" s="1" t="s">
        <v>3017</v>
      </c>
      <c r="I1582" s="1" t="s">
        <v>356</v>
      </c>
      <c r="J1582" s="1" t="s">
        <v>16</v>
      </c>
      <c r="K1582" s="1" t="s">
        <v>47</v>
      </c>
      <c r="L1582" s="1" t="s">
        <v>2973</v>
      </c>
      <c r="M1582">
        <f t="shared" si="168"/>
        <v>200</v>
      </c>
      <c r="N1582" t="str">
        <f t="shared" si="169"/>
        <v>1946-08-03</v>
      </c>
      <c r="O1582">
        <f t="shared" si="170"/>
        <v>66</v>
      </c>
      <c r="P1582" t="str">
        <f t="shared" si="171"/>
        <v>mężczyzna</v>
      </c>
      <c r="Q1582">
        <f t="shared" si="172"/>
        <v>145</v>
      </c>
      <c r="R1582">
        <f t="shared" si="173"/>
        <v>48</v>
      </c>
      <c r="S1582">
        <f t="shared" ca="1" si="174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5244-A95C-44E6-AE16-A3067F278AA3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2953-EAAD-42FA-B81F-E9AD0CA76B63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Adrianna</dc:creator>
  <cp:lastModifiedBy>Aleksander Stepaniuk (272644)</cp:lastModifiedBy>
  <dcterms:created xsi:type="dcterms:W3CDTF">2014-12-04T15:47:56Z</dcterms:created>
  <dcterms:modified xsi:type="dcterms:W3CDTF">2026-04-21T20:45:57Z</dcterms:modified>
</cp:coreProperties>
</file>